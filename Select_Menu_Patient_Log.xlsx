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vagov-my.sharepoint.com/personal/crystal_alvarez_va_gov/Documents/Desktop/Select Menu/VSCode/"/>
    </mc:Choice>
  </mc:AlternateContent>
  <xr:revisionPtr revIDLastSave="1511" documentId="13_ncr:1_{9CEB82FD-F55C-4572-8711-23C7E1DF9E52}" xr6:coauthVersionLast="47" xr6:coauthVersionMax="47" xr10:uidLastSave="{59C4F8F8-3F53-4CA0-8123-4B2A90A1A9E0}"/>
  <bookViews>
    <workbookView xWindow="-120" yWindow="-120" windowWidth="29040" windowHeight="15720" xr2:uid="{00000000-000D-0000-FFFF-FFFF00000000}"/>
  </bookViews>
  <sheets>
    <sheet name="Patient_Log" sheetId="1" r:id="rId1"/>
    <sheet name="Unit_Log" sheetId="4" r:id="rId2"/>
    <sheet name="Summary" sheetId="3" r:id="rId3"/>
    <sheet name="Data Dictionary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" i="4" l="1"/>
  <c r="B6" i="3" a="1"/>
  <c r="B6" i="3" s="1"/>
  <c r="B9" i="3"/>
  <c r="B13" i="3" a="1"/>
  <c r="B13" i="3" s="1"/>
  <c r="B12" i="3" a="1"/>
  <c r="B12" i="3" s="1"/>
  <c r="F2" i="4"/>
  <c r="F3" i="4"/>
  <c r="F4" i="4"/>
  <c r="F5" i="4"/>
  <c r="F6" i="4"/>
  <c r="F7" i="4"/>
  <c r="F19" i="4"/>
  <c r="F18" i="4"/>
  <c r="F17" i="4"/>
  <c r="F15" i="4"/>
  <c r="F14" i="4"/>
  <c r="F13" i="4"/>
  <c r="F12" i="4"/>
  <c r="F11" i="4"/>
  <c r="F10" i="4"/>
  <c r="F9" i="4"/>
  <c r="F8" i="4"/>
  <c r="B7" i="3" l="1"/>
  <c r="B5" i="3" a="1"/>
  <c r="B5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Alvarez, Crystal G.</author>
  </authors>
  <commentList>
    <comment ref="A84" authorId="0" shapeId="0" xr:uid="{183660D0-707D-42BA-94A0-5DFBA6754DDD}">
      <text>
        <r>
          <rPr>
            <b/>
            <sz val="9"/>
            <color indexed="81"/>
            <rFont val="Tahoma"/>
            <charset val="1"/>
          </rPr>
          <t>Alvarez, Crystal G.:</t>
        </r>
        <r>
          <rPr>
            <sz val="9"/>
            <color indexed="81"/>
            <rFont val="Tahoma"/>
            <charset val="1"/>
          </rPr>
          <t xml:space="preserve">
Times that are "3" and "4" are assumed. Data is Unit_Log did not match Patient_Log, so I added ghost rows with assumed times.</t>
        </r>
      </text>
    </comment>
    <comment ref="A221" authorId="0" shapeId="0" xr:uid="{D4E50BA8-F9A2-4869-ADFA-C9944F44B098}">
      <text>
        <r>
          <rPr>
            <b/>
            <sz val="9"/>
            <color indexed="81"/>
            <rFont val="Tahoma"/>
            <charset val="1"/>
          </rPr>
          <t>Alvarez, Crystal G.:</t>
        </r>
        <r>
          <rPr>
            <sz val="9"/>
            <color indexed="81"/>
            <rFont val="Tahoma"/>
            <charset val="1"/>
          </rPr>
          <t xml:space="preserve">
Data for 9/3 (Interaction_Time_Min) is assumed d/t laptop crashing after export from website but before upload to Master sheet.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tc={D3FF7735-12CE-4124-B812-530317C3CDB5}</author>
    <author>tc={633BB6FF-50A6-45FA-B27C-354642007C57}</author>
    <author>Alvarez, Crystal G.</author>
  </authors>
  <commentList>
    <comment ref="A3" authorId="0" shapeId="0" xr:uid="{D3FF7735-12CE-4124-B812-530317C3CDB5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from these two days is assumed, ass I did not track any data whatsoever.</t>
      </text>
    </comment>
    <comment ref="A7" authorId="1" shapeId="0" xr:uid="{633BB6FF-50A6-45FA-B27C-354642007C57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for this day is assumed, as I did not track any data.</t>
      </text>
    </comment>
    <comment ref="A43" authorId="2" shapeId="0" xr:uid="{F66E8C90-5319-475A-B743-22C57382CAC2}">
      <text>
        <r>
          <rPr>
            <b/>
            <sz val="9"/>
            <color indexed="81"/>
            <rFont val="Tahoma"/>
            <charset val="1"/>
          </rPr>
          <t>Alvarez, Crystal G.:</t>
        </r>
        <r>
          <rPr>
            <sz val="9"/>
            <color indexed="81"/>
            <rFont val="Tahoma"/>
            <charset val="1"/>
          </rPr>
          <t xml:space="preserve">
This data is assumed. Alison made an error while using tracker.</t>
        </r>
      </text>
    </comment>
    <comment ref="A44" authorId="2" shapeId="0" xr:uid="{814C15E8-F02D-4F49-8D75-4C40EE48B140}">
      <text>
        <r>
          <rPr>
            <b/>
            <sz val="9"/>
            <color indexed="81"/>
            <rFont val="Tahoma"/>
            <charset val="1"/>
          </rPr>
          <t>Alvarez, Crystal G.:</t>
        </r>
        <r>
          <rPr>
            <sz val="9"/>
            <color indexed="81"/>
            <rFont val="Tahoma"/>
            <charset val="1"/>
          </rPr>
          <t xml:space="preserve">
This data is assumed. Alison made an error while using tracker.</t>
        </r>
      </text>
    </comment>
    <comment ref="A61" authorId="2" shapeId="0" xr:uid="{B570238E-FF55-4F54-B4C3-500650412F58}">
      <text>
        <r>
          <rPr>
            <b/>
            <sz val="9"/>
            <color indexed="81"/>
            <rFont val="Tahoma"/>
            <charset val="1"/>
          </rPr>
          <t>Alvarez, Crystal G.:</t>
        </r>
        <r>
          <rPr>
            <sz val="9"/>
            <color indexed="81"/>
            <rFont val="Tahoma"/>
            <charset val="1"/>
          </rPr>
          <t xml:space="preserve">
The values for 9/3 are estiamted. My laptop crashed after exporting data from tracker website but before pasting it to this sheet. File could not be recovered. That data is lost forever :(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Alvarez, Crystal G.</author>
  </authors>
  <commentList>
    <comment ref="A13" authorId="0" shapeId="0" xr:uid="{15896BF7-B431-4F5F-8CAB-2CE9A739AB94}">
      <text>
        <r>
          <rPr>
            <b/>
            <sz val="9"/>
            <color indexed="81"/>
            <rFont val="Tahoma"/>
            <family val="2"/>
          </rPr>
          <t>Alvarez, Crystal G.:</t>
        </r>
        <r>
          <rPr>
            <sz val="9"/>
            <color indexed="81"/>
            <rFont val="Tahoma"/>
            <family val="2"/>
          </rPr>
          <t xml:space="preserve">
This calculation does not include the first trial week (7/29-8/5) d/t outliers that would skew the results. Also, WiFi was not working on my laptop so I was not tracking my total time spent up in the units.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<sst xmlns="http://schemas.openxmlformats.org/spreadsheetml/2006/main" count="4370" uniqueCount="500">
  <si>
    <t>Date</t>
  </si>
  <si>
    <t>Unit</t>
  </si>
  <si>
    <t>Visit_Window</t>
  </si>
  <si>
    <t>Room</t>
  </si>
  <si>
    <t>Available</t>
  </si>
  <si>
    <t>Interaction_Time_Min</t>
  </si>
  <si>
    <t>Notes</t>
  </si>
  <si>
    <t>Unit_Time_Min</t>
  </si>
  <si>
    <t>Combined_Duration_Min</t>
  </si>
  <si>
    <t>2026-08-06</t>
  </si>
  <si>
    <t>3 West</t>
  </si>
  <si>
    <t>2:30 PM</t>
  </si>
  <si>
    <t>24</t>
  </si>
  <si>
    <t>Yes</t>
  </si>
  <si>
    <t/>
  </si>
  <si>
    <t>26</t>
  </si>
  <si>
    <t>25</t>
  </si>
  <si>
    <t>No</t>
  </si>
  <si>
    <t>2 East</t>
  </si>
  <si>
    <t>01</t>
  </si>
  <si>
    <t>Took long bc I collected Likes and Dislikes</t>
  </si>
  <si>
    <t>2026-08-07</t>
  </si>
  <si>
    <t>8:00 AM</t>
  </si>
  <si>
    <t>6</t>
  </si>
  <si>
    <t>17</t>
  </si>
  <si>
    <t>35</t>
  </si>
  <si>
    <t>Transfer to Tele</t>
  </si>
  <si>
    <t>Discharged</t>
  </si>
  <si>
    <t>18</t>
  </si>
  <si>
    <t>28</t>
  </si>
  <si>
    <t>2026-08-10</t>
  </si>
  <si>
    <t>11:00 AM</t>
  </si>
  <si>
    <t>05</t>
  </si>
  <si>
    <t>06</t>
  </si>
  <si>
    <t>29</t>
  </si>
  <si>
    <t>2026-08-11</t>
  </si>
  <si>
    <t>04</t>
  </si>
  <si>
    <t>09</t>
  </si>
  <si>
    <t>refused okay w/ w/e</t>
  </si>
  <si>
    <t>expects to DC today</t>
  </si>
  <si>
    <t>11</t>
  </si>
  <si>
    <t>Dr rounding</t>
  </si>
  <si>
    <t>Column</t>
  </si>
  <si>
    <t>Description</t>
  </si>
  <si>
    <t>Type</t>
  </si>
  <si>
    <t>Date of visit</t>
  </si>
  <si>
    <t>Input (YYYY-MM-DD)</t>
  </si>
  <si>
    <t>Keep format consistent for Power BI</t>
  </si>
  <si>
    <t>Patient care unit</t>
  </si>
  <si>
    <t>Input</t>
  </si>
  <si>
    <t>3 West or 2 East</t>
  </si>
  <si>
    <t>Time window of visit</t>
  </si>
  <si>
    <t>8:00 AM, 11:00 AM, or 2:30 PM</t>
  </si>
  <si>
    <t>Patient room number</t>
  </si>
  <si>
    <t>Whether patient was seen</t>
  </si>
  <si>
    <t>Yes or No</t>
  </si>
  <si>
    <t>Time spent with patient in minutes</t>
  </si>
  <si>
    <t>Exported from Visit Tracker website; blank if unavailable</t>
  </si>
  <si>
    <t>Optional notes per patient</t>
  </si>
  <si>
    <t>Exported from Visit Tracker website</t>
  </si>
  <si>
    <t>Total time spent on that unit including walking</t>
  </si>
  <si>
    <t>Total time on both units combined</t>
  </si>
  <si>
    <t>Exported from Visit Tracker website; same value repeats for all rows in a session</t>
  </si>
  <si>
    <t>POWER BI CALCULATED METRICS</t>
  </si>
  <si>
    <t>Patients_Attempted</t>
  </si>
  <si>
    <t>COUNTA of rows per date + unit + visit window</t>
  </si>
  <si>
    <t>Power BI measure</t>
  </si>
  <si>
    <t>Patients_Seen</t>
  </si>
  <si>
    <t>COUNTIF Available = Yes</t>
  </si>
  <si>
    <t>Patients_Unavailable</t>
  </si>
  <si>
    <t>COUNTIF Available = No</t>
  </si>
  <si>
    <t>Avg_Interaction_Time_Min</t>
  </si>
  <si>
    <t>AVERAGE of Interaction_Time_Min per session</t>
  </si>
  <si>
    <t>Min_Interaction_Time_Min</t>
  </si>
  <si>
    <t>MIN of Interaction_Time_Min</t>
  </si>
  <si>
    <t>Max_Interaction_Time_Min</t>
  </si>
  <si>
    <t>MAX of Interaction_Time_Min</t>
  </si>
  <si>
    <t>Contact_Rate_Pct</t>
  </si>
  <si>
    <t>Patients_Seen / Patients_Attempted * 100</t>
  </si>
  <si>
    <t>Auto-updates as new rows are added to the Patient Log sheet.</t>
  </si>
  <si>
    <t>Total Patients Seen (all time)</t>
  </si>
  <si>
    <t>very restrictive needs. Expects to be on TPN</t>
  </si>
  <si>
    <t>With the Dr. Overheard psych mentioned. Possible IPU?</t>
  </si>
  <si>
    <t>Session_Duration_Min</t>
  </si>
  <si>
    <t>Patient Interaction Times</t>
  </si>
  <si>
    <t>Minutes</t>
  </si>
  <si>
    <t>Minimum Interaction Time</t>
  </si>
  <si>
    <t>Maximum Interaction Time</t>
  </si>
  <si>
    <t>Average Interaction Time</t>
  </si>
  <si>
    <t>Session Durations</t>
  </si>
  <si>
    <t>Minimum Duration</t>
  </si>
  <si>
    <t>Maximum Duration</t>
  </si>
  <si>
    <t>SELECT MENU — SUMMARY</t>
  </si>
  <si>
    <t>2026-08-12</t>
  </si>
  <si>
    <t>03</t>
  </si>
  <si>
    <t>took long for adding LDAs</t>
  </si>
  <si>
    <t>20</t>
  </si>
  <si>
    <t>asleep</t>
  </si>
  <si>
    <t>couldn't find room?</t>
  </si>
  <si>
    <t>2026-08-13</t>
  </si>
  <si>
    <t>discharging</t>
  </si>
  <si>
    <t>patient in pain. said "soup" for L&amp;D</t>
  </si>
  <si>
    <t>pt not in room</t>
  </si>
  <si>
    <t>13</t>
  </si>
  <si>
    <t>pt only eats honeydew melon?</t>
  </si>
  <si>
    <t>with a provider</t>
  </si>
  <si>
    <t>provider in room</t>
  </si>
  <si>
    <t>2026-08-14</t>
  </si>
  <si>
    <t>pt sleeping</t>
  </si>
  <si>
    <t>2026-08-17</t>
  </si>
  <si>
    <t>02</t>
  </si>
  <si>
    <t>possible DC? Bed was stripped</t>
  </si>
  <si>
    <t>Patient only wanted to confirm tonight's dinner. And then said "whatever is fine"</t>
  </si>
  <si>
    <t>ICU6</t>
  </si>
  <si>
    <t>07</t>
  </si>
  <si>
    <t>2026-08-19</t>
  </si>
  <si>
    <t>31</t>
  </si>
  <si>
    <t>2026-08-20</t>
  </si>
  <si>
    <t>2026-08-21</t>
  </si>
  <si>
    <t>2</t>
  </si>
  <si>
    <t>pt discharged. bed stripped &amp; cleaned.</t>
  </si>
  <si>
    <t>really liked tomato soup</t>
  </si>
  <si>
    <t>C01</t>
  </si>
  <si>
    <t>B18</t>
  </si>
  <si>
    <t>B11</t>
  </si>
  <si>
    <t>B20</t>
  </si>
  <si>
    <t>A28</t>
  </si>
  <si>
    <t>2b28</t>
  </si>
  <si>
    <t>2b26</t>
  </si>
  <si>
    <t>2b17</t>
  </si>
  <si>
    <t>sleeping</t>
  </si>
  <si>
    <t>3a31</t>
  </si>
  <si>
    <t>2026-08-24</t>
  </si>
  <si>
    <t>said w/e is fine</t>
  </si>
  <si>
    <t>took a little longer d/t hearing difficulty</t>
  </si>
  <si>
    <t>c01</t>
  </si>
  <si>
    <t>many compliments to the food being such a delight</t>
  </si>
  <si>
    <t>pt had nice things to say. This is always done "with a smile.. the deliveries are nice." the good attitude and good food go a long way while in a hospital.</t>
  </si>
  <si>
    <t>was discharging as i walked in</t>
  </si>
  <si>
    <t>2026-08-25</t>
  </si>
  <si>
    <t>possible DC? bed and room stripped</t>
  </si>
  <si>
    <t>w/ provider</t>
  </si>
  <si>
    <t>room locked</t>
  </si>
  <si>
    <t>did LDAs</t>
  </si>
  <si>
    <t>2b11</t>
  </si>
  <si>
    <t>3a26</t>
  </si>
  <si>
    <t>3a28</t>
  </si>
  <si>
    <t>3a35</t>
  </si>
  <si>
    <t>3a29</t>
  </si>
  <si>
    <t>3a07</t>
  </si>
  <si>
    <t>2026-08-27</t>
  </si>
  <si>
    <t>1</t>
  </si>
  <si>
    <t>w/ RD</t>
  </si>
  <si>
    <t>3</t>
  </si>
  <si>
    <t>discharging soon</t>
  </si>
  <si>
    <t>not in room</t>
  </si>
  <si>
    <t>A07</t>
  </si>
  <si>
    <t>A24</t>
  </si>
  <si>
    <t>D23</t>
  </si>
  <si>
    <t>patient mental state is unstable</t>
  </si>
  <si>
    <t>2b18</t>
  </si>
  <si>
    <t>pt is discharging after lunch</t>
  </si>
  <si>
    <t>3a24</t>
  </si>
  <si>
    <t>pt is discharging tmw after lunch</t>
  </si>
  <si>
    <t>procedure</t>
  </si>
  <si>
    <t>not available</t>
  </si>
  <si>
    <t>2b13</t>
  </si>
  <si>
    <t>A35</t>
  </si>
  <si>
    <t>B13</t>
  </si>
  <si>
    <t>B26</t>
  </si>
  <si>
    <t>B17</t>
  </si>
  <si>
    <t>Patient incapacitated</t>
  </si>
  <si>
    <t>Contact plus precaution</t>
  </si>
  <si>
    <t>A29</t>
  </si>
  <si>
    <t>Patient Discharged</t>
  </si>
  <si>
    <t>A31</t>
  </si>
  <si>
    <t>patient was not coherent fell asleep.   Just chose main menu items</t>
  </si>
  <si>
    <t>A01</t>
  </si>
  <si>
    <t>B28</t>
  </si>
  <si>
    <t>patient was with provider for an extended amount of time.  Chose the main menu items for efficiency.</t>
  </si>
  <si>
    <t>patient is incapacitated</t>
  </si>
  <si>
    <t>PATIENT IS VERY DISSAPPOINTED WITH THE BAKED CHICKEN ENTREE</t>
  </si>
  <si>
    <t>SLEEP</t>
  </si>
  <si>
    <t>A06</t>
  </si>
  <si>
    <t>PATIENT WITH PROVIDER</t>
  </si>
  <si>
    <t>PATIENT VISITING WITH FAMILY</t>
  </si>
  <si>
    <t>Reason</t>
  </si>
  <si>
    <t>Reasons for No Visit List</t>
  </si>
  <si>
    <t>nurse notified that pt busy having a "bowel movement". Pt Incapacitated</t>
  </si>
  <si>
    <t>Discharged/Transferred</t>
  </si>
  <si>
    <t>With Provider</t>
  </si>
  <si>
    <t>Sleeping/Incapacitated</t>
  </si>
  <si>
    <t>Not in Room</t>
  </si>
  <si>
    <t>Isolation/Precaution</t>
  </si>
  <si>
    <t>Other</t>
  </si>
  <si>
    <t>2026-08-31</t>
  </si>
  <si>
    <t>possible DC</t>
  </si>
  <si>
    <t>took long d/t provider coming in, then talked a lot</t>
  </si>
  <si>
    <t>in bathroom</t>
  </si>
  <si>
    <t>2026-09-02</t>
  </si>
  <si>
    <t>took long d/t carefully reviewing each tray &amp; discussing appetite issues</t>
  </si>
  <si>
    <t>wife helped order. only did tonight's dinner. expects to leave tomorrow and confirmed OK w/ chef selections if end up staying</t>
  </si>
  <si>
    <t>icu01</t>
  </si>
  <si>
    <t>icu05</t>
  </si>
  <si>
    <t>took long bc i needed to wait for provider to wrap up</t>
  </si>
  <si>
    <t>NPO sign on door</t>
  </si>
  <si>
    <t>took long entering snacks and preferences</t>
  </si>
  <si>
    <t>took long d/t reviewing allergies and recipe components</t>
  </si>
  <si>
    <t>took long reviewing Nourishments and going over menu</t>
  </si>
  <si>
    <t>w/ a provider</t>
  </si>
  <si>
    <t>2026-09-03</t>
  </si>
  <si>
    <t>A02</t>
  </si>
  <si>
    <t>A03</t>
  </si>
  <si>
    <t>PATIENT DISCHARGING 09/06 DOES NOT WANT TO ENTER ANY MEAL SELECTIONS</t>
  </si>
  <si>
    <t>THIS WAS VERY HELPFUL BECAUSE THE PATIENT DOES HAVE A DISLIKE FOR ONION PRODUCTS BUT FURTHER EXPLAINED HE LIKES THEM WHEN THEY'RE SAUTEED AND COOKED SO I WAS ABLE TO GIVE HIM THE BEEF STEW AND LOCK THE SELECTION.</t>
  </si>
  <si>
    <t>DISCHARGING 09/06 DOES NOT WANT TO ENTER ANY SELECTIONS</t>
  </si>
  <si>
    <t>2026-09-08</t>
  </si>
  <si>
    <t>gave many many compliments</t>
  </si>
  <si>
    <t>took long bc i needed to make a new recipe and make many changes to selections</t>
  </si>
  <si>
    <t>2026-09-09</t>
  </si>
  <si>
    <t>npo sign on door</t>
  </si>
  <si>
    <t>pt discussed getting too many trays d/t diet changes</t>
  </si>
  <si>
    <t>c14</t>
  </si>
  <si>
    <t>A04</t>
  </si>
  <si>
    <t>WITH NURSE/PROVIDER</t>
  </si>
  <si>
    <t>C14</t>
  </si>
  <si>
    <t>PATIENT IS AIRBORNE PRECAUTION</t>
  </si>
  <si>
    <t>PATIENT CARE PROCEDURE</t>
  </si>
  <si>
    <t>ICU-4</t>
  </si>
  <si>
    <t>PATIENT UNAVAILABLE</t>
  </si>
  <si>
    <t>2026-09-11</t>
  </si>
  <si>
    <t>droplet precautions</t>
  </si>
  <si>
    <t>3a01</t>
  </si>
  <si>
    <t>3a05</t>
  </si>
  <si>
    <t>3a09</t>
  </si>
  <si>
    <t>3a19</t>
  </si>
  <si>
    <t>Pt doesn't want fruit juice</t>
  </si>
  <si>
    <t>Pt doesn’t want tea</t>
  </si>
  <si>
    <t>2026-09-14</t>
  </si>
  <si>
    <t>got cut off so he can go to xray</t>
  </si>
  <si>
    <t>19</t>
  </si>
  <si>
    <t>cart in front of door</t>
  </si>
  <si>
    <t>2026-09-16</t>
  </si>
  <si>
    <t>only did today's meals. expects to leave tonight</t>
  </si>
  <si>
    <t>change timer. i was in here about 12 mintues</t>
  </si>
  <si>
    <t>wife spoke mostly on his behalf</t>
  </si>
  <si>
    <t>icu02</t>
  </si>
  <si>
    <t>icu04</t>
  </si>
  <si>
    <t>discharging. "coffee is horrendous"</t>
  </si>
  <si>
    <t>1:30 PM</t>
  </si>
  <si>
    <t>10:30 AM</t>
  </si>
  <si>
    <t>9:30 AM</t>
  </si>
  <si>
    <t>10:00 AM</t>
  </si>
  <si>
    <t>A09</t>
  </si>
  <si>
    <t>ICU 2</t>
  </si>
  <si>
    <t>7:00 PM</t>
  </si>
  <si>
    <t>2c01</t>
  </si>
  <si>
    <t>Pt aspirated and needs a diet change, speech consult for tmw. Did not complete select menu process.</t>
  </si>
  <si>
    <t>One on one supervision says pt is unable to complete meal selection process. Mental cognition is not available.</t>
  </si>
  <si>
    <t>Pt is concerned about diabetes and meal selection process.</t>
  </si>
  <si>
    <t>2b20</t>
  </si>
  <si>
    <t>Pt says that fortified hot cereals have been clumpy with fortifier and it is stuck to the bottom of bowl.</t>
  </si>
  <si>
    <t>2026-09-18</t>
  </si>
  <si>
    <t>saw dawn &amp; yapped</t>
  </si>
  <si>
    <t>pt expects to DC tonight, only confirmed dinner tray for tonight</t>
  </si>
  <si>
    <t>locked out of pt RSC d/t RD. kicked out but session wasn't terminated. Wife spoke on pt's behalf</t>
  </si>
  <si>
    <t>21</t>
  </si>
  <si>
    <t>could not get to room</t>
  </si>
  <si>
    <t>3:30 PM</t>
  </si>
  <si>
    <t>Patient should be removed from select menu.  He does not communicate well due to mental illness.</t>
  </si>
  <si>
    <t>A17</t>
  </si>
  <si>
    <t>ICU</t>
  </si>
  <si>
    <t>icu4</t>
  </si>
  <si>
    <t>3A04</t>
  </si>
  <si>
    <t>sleeping pt</t>
  </si>
  <si>
    <t>3A06</t>
  </si>
  <si>
    <t>walking</t>
  </si>
  <si>
    <t>3A17</t>
  </si>
  <si>
    <t>pt is not able to make menu selections</t>
  </si>
  <si>
    <t>pt says the ff cream of wheat needs to be stirred better</t>
  </si>
  <si>
    <t>2026-09-21</t>
  </si>
  <si>
    <t>w/ providerj</t>
  </si>
  <si>
    <t>droplet precaution</t>
  </si>
  <si>
    <t>2026-09-22</t>
  </si>
  <si>
    <t>pt's wife spoke on his behalf</t>
  </si>
  <si>
    <t>icu6</t>
  </si>
  <si>
    <t>2026-09-23</t>
  </si>
  <si>
    <t>pt expressed difficulty swallowing and has not seen an RD. I sent a message in Teams. We only did her dinner tray for tonight, with foods she'll be able to swallow.</t>
  </si>
  <si>
    <t>door closed w/ guest</t>
  </si>
  <si>
    <t>airborne precautions</t>
  </si>
  <si>
    <t>sleeping. tried to wake up, no success</t>
  </si>
  <si>
    <t>2026-09-24</t>
  </si>
  <si>
    <t>expects to dc tomorrow. so we did not go over dinner</t>
  </si>
  <si>
    <t>possible discharge</t>
  </si>
  <si>
    <t>room closed off/ pt unavailable</t>
  </si>
  <si>
    <t>discharging in a few minutes</t>
  </si>
  <si>
    <t>2C14</t>
  </si>
  <si>
    <t>Doctor was the liaison for the meal selection as I am not permitted access to this room.</t>
  </si>
  <si>
    <t>icu2</t>
  </si>
  <si>
    <t>3A09</t>
  </si>
  <si>
    <t>sleeping - nurse says do not wake him up.</t>
  </si>
  <si>
    <t>5:00 PM</t>
  </si>
  <si>
    <t>SLEEPING CHOSE MEAL FOR HIM</t>
  </si>
  <si>
    <t>Patient says veggies are not cooked enough and brussels sprouts were too dry.</t>
  </si>
  <si>
    <t>6:30 PM</t>
  </si>
  <si>
    <t>AIRBORNE PRECAUTION CHOSE MAIN MEAL MINUS DISLIKES OF CHOLULA</t>
  </si>
  <si>
    <t>A05</t>
  </si>
  <si>
    <t>D06</t>
  </si>
  <si>
    <t>icu - 3</t>
  </si>
  <si>
    <t>3A31</t>
  </si>
  <si>
    <t>patient wants more hot cereal with breakfast</t>
  </si>
  <si>
    <t>wants a softer diet</t>
  </si>
  <si>
    <t>2c14</t>
  </si>
  <si>
    <t>cannot enter room</t>
  </si>
  <si>
    <t>5:30 PM</t>
  </si>
  <si>
    <t>2026-09-25</t>
  </si>
  <si>
    <t>2026-09-26</t>
  </si>
  <si>
    <t>2026-09-27</t>
  </si>
  <si>
    <t>2026-09-19</t>
  </si>
  <si>
    <t>2026-09-20</t>
  </si>
  <si>
    <t>2026-09-17</t>
  </si>
  <si>
    <t>2026-09-12</t>
  </si>
  <si>
    <t>2026-09-13</t>
  </si>
  <si>
    <t>2026-09-10</t>
  </si>
  <si>
    <t>2026-08-28</t>
  </si>
  <si>
    <t>2026-08-29</t>
  </si>
  <si>
    <t>2026-08-30</t>
  </si>
  <si>
    <t>2026-08-23</t>
  </si>
  <si>
    <t>2026-09-28</t>
  </si>
  <si>
    <t>Pt mentioned being vegetarian but has not seen RD. Decided to not move forward w/ selection process</t>
  </si>
  <si>
    <t>pt did not receive items on "Center" of ticket</t>
  </si>
  <si>
    <t>reviewed dislikes</t>
  </si>
  <si>
    <t>12:00 PM</t>
  </si>
  <si>
    <t>2026-09-29</t>
  </si>
  <si>
    <t>11:30 AM</t>
  </si>
  <si>
    <t>possible DC. bed stripped</t>
  </si>
  <si>
    <t>7</t>
  </si>
  <si>
    <t>DC/transfer processing</t>
  </si>
  <si>
    <t>8</t>
  </si>
  <si>
    <t>liked the chicken fajita</t>
  </si>
  <si>
    <t>2:00 PM</t>
  </si>
  <si>
    <t>liked the spaghetti with meat sauce</t>
  </si>
  <si>
    <t>2026-07-29</t>
  </si>
  <si>
    <t>2026-07-30</t>
  </si>
  <si>
    <t>2026-07-31</t>
  </si>
  <si>
    <t>2026-08-03</t>
  </si>
  <si>
    <t>2026-08-04</t>
  </si>
  <si>
    <t>2026-08-05</t>
  </si>
  <si>
    <t>2026-09-05</t>
  </si>
  <si>
    <t>2026-09-06</t>
  </si>
  <si>
    <t>Was not tracking "Reason" at this time.</t>
  </si>
  <si>
    <t>My laptop crashed after exporting data from tracker website but before pasting it to this sheet. File could not be recovered. That data is lost forever :(</t>
  </si>
  <si>
    <t>ghost row added when cleaning data. "Reason" unknown</t>
  </si>
  <si>
    <t>2026-09-30</t>
  </si>
  <si>
    <t>12:30 PM</t>
  </si>
  <si>
    <t>couldn't get away</t>
  </si>
  <si>
    <t>No creamer on tray for today lunch</t>
  </si>
  <si>
    <t>24.76</t>
  </si>
  <si>
    <t>17.86</t>
  </si>
  <si>
    <t>19.81</t>
  </si>
  <si>
    <t>A19</t>
  </si>
  <si>
    <t>A21</t>
  </si>
  <si>
    <t>WITH NURSE</t>
  </si>
  <si>
    <t>WITH PROVIDER</t>
  </si>
  <si>
    <t>DISCHARGING</t>
  </si>
  <si>
    <t>DISCHARGED</t>
  </si>
  <si>
    <t>PATIENT IS YELLOW CONTACT PRECAUTION</t>
  </si>
  <si>
    <t>NON VERBAL</t>
  </si>
  <si>
    <t>N/A</t>
  </si>
  <si>
    <t>3:00 PM</t>
  </si>
  <si>
    <t>pt has medical team in the room</t>
  </si>
  <si>
    <t>3a02</t>
  </si>
  <si>
    <t>Wants large portions of protein. Would only like pink salmon - not other fish.</t>
  </si>
  <si>
    <t>pt asleep</t>
  </si>
  <si>
    <t>pt getting procedure</t>
  </si>
  <si>
    <t>pt with provider</t>
  </si>
  <si>
    <t>pt wants tea with every meal</t>
  </si>
  <si>
    <t>2b24</t>
  </si>
  <si>
    <t>3a03</t>
  </si>
  <si>
    <t>pt discharging today</t>
  </si>
  <si>
    <t>pt is discharging today</t>
  </si>
  <si>
    <t>pt discharged</t>
  </si>
  <si>
    <t>pt is discharging</t>
  </si>
  <si>
    <t>pt discharging tomorrow</t>
  </si>
  <si>
    <t>pt is discharging today - speaking with medical team.</t>
  </si>
  <si>
    <t>patient is sleeping - cannot wake him.</t>
  </si>
  <si>
    <t>ICU-7</t>
  </si>
  <si>
    <t>with provider</t>
  </si>
  <si>
    <t>profile locked</t>
  </si>
  <si>
    <t>modified LDAs</t>
  </si>
  <si>
    <t>patient is very particular lots of changes</t>
  </si>
  <si>
    <t>2026-10-08</t>
  </si>
  <si>
    <t>9.13</t>
  </si>
  <si>
    <t>extra few minutes for survey</t>
  </si>
  <si>
    <t>discharging. did survey though. mentioned giving toothpicks would be nice.</t>
  </si>
  <si>
    <t>change timer to add 4 minutes</t>
  </si>
  <si>
    <t>5.59</t>
  </si>
  <si>
    <t>2.26</t>
  </si>
  <si>
    <t>2.79</t>
  </si>
  <si>
    <t>9.78</t>
  </si>
  <si>
    <t>tray missing items</t>
  </si>
  <si>
    <t>31.99</t>
  </si>
  <si>
    <t>25.24</t>
  </si>
  <si>
    <t>discharge</t>
  </si>
  <si>
    <t>2c16</t>
  </si>
  <si>
    <t>pt w/provider</t>
  </si>
  <si>
    <t>NO MILK</t>
  </si>
  <si>
    <t>Patient is hard of hearing.</t>
  </si>
  <si>
    <t>Patient is nonresponsive</t>
  </si>
  <si>
    <t>Patient is sleeping</t>
  </si>
  <si>
    <t>C16</t>
  </si>
  <si>
    <t>PATIENT WAS NOT FEELING WELL I CHOSE THE MEALS FOR HIM</t>
  </si>
  <si>
    <t>NPO</t>
  </si>
  <si>
    <t>ICU-6</t>
  </si>
  <si>
    <t>patient wants strawberry ice cream everyday</t>
  </si>
  <si>
    <t>pt eating lunch, he wants me to come back after.</t>
  </si>
  <si>
    <t>3A02</t>
  </si>
  <si>
    <t>pt wants diet cola w/ lunch or dinner</t>
  </si>
  <si>
    <t>pt is not available so i went w/ marci to check expiration dates in nourishment rooms</t>
  </si>
  <si>
    <t>w provider</t>
  </si>
  <si>
    <t>provider came in at end. pt is upset bc "worlds worst breakfast" will come back later to finish for lunch and dinner for tm.</t>
  </si>
  <si>
    <t>8:30 AM</t>
  </si>
  <si>
    <t>C 16</t>
  </si>
  <si>
    <t>pt with nurse</t>
  </si>
  <si>
    <t>pt is on hospice and is a little confused</t>
  </si>
  <si>
    <t>hospice pt, expressed some difficulty with hospice menu and kept talking</t>
  </si>
  <si>
    <t>pt likes broccoli</t>
  </si>
  <si>
    <t>2B13</t>
  </si>
  <si>
    <t>2B17</t>
  </si>
  <si>
    <t>pt discharging tmw</t>
  </si>
  <si>
    <t>2B26</t>
  </si>
  <si>
    <t>pt is sleeping, did not eat his dinner tray and i cannot wake him</t>
  </si>
  <si>
    <t>3A05</t>
  </si>
  <si>
    <t>pt needs dietician consult</t>
  </si>
  <si>
    <t>pt discharging in a few moments</t>
  </si>
  <si>
    <t>3A07</t>
  </si>
  <si>
    <t>3A19</t>
  </si>
  <si>
    <t>pt wants chef salad</t>
  </si>
  <si>
    <t>3A26</t>
  </si>
  <si>
    <t>3A29</t>
  </si>
  <si>
    <t>pt requests not at this time</t>
  </si>
  <si>
    <t>2C16</t>
  </si>
  <si>
    <t>6:00 PM</t>
  </si>
  <si>
    <t>pt in pain. didn't really want to talk but let me finish his meals</t>
  </si>
  <si>
    <t>pt has a lot of difficulty hearing. had to speak loudly. he was very eager about the menu!</t>
  </si>
  <si>
    <t>pt just had difficulty speaking and spoke slowly. said he "supports what we're doing 100%" (referring to select menu)</t>
  </si>
  <si>
    <t>took long deciding on items</t>
  </si>
  <si>
    <t>pt in pain but willing to go over his meals</t>
  </si>
  <si>
    <t>room stripped. possible DC</t>
  </si>
  <si>
    <t>provider needed him for a procedure so we only did his dinner tray for tonight</t>
  </si>
  <si>
    <t>PATIENT WOULD LIKE LARGE PROTIONS FOR MEALS I WILL NOTIFY STAFF</t>
  </si>
  <si>
    <t>NO COFFEE</t>
  </si>
  <si>
    <t>DOES NOT EAT CHICKEN OR BEEF</t>
  </si>
  <si>
    <t>DISLIKES RAW ONION</t>
  </si>
  <si>
    <t>PATIENT SLEEP</t>
  </si>
  <si>
    <t>B24</t>
  </si>
  <si>
    <t>PATIENT IS SLEEPING</t>
  </si>
  <si>
    <t>SLEEP HOSPICE PATIENT</t>
  </si>
  <si>
    <t>PATIENT SAYS IT'S TOO MUCH FOOD. I EXPLAINED THE PORTION SIZES TO HIM AND STILL THINKS IT'S TOO MUCH.</t>
  </si>
  <si>
    <t>DISLIKES FISH.  ENTERED IN DISLIKES</t>
  </si>
  <si>
    <t>PATIENT IS FREQUENTLY SLEEP</t>
  </si>
  <si>
    <t>PATIENT SAYS HE WILL EAT ANYTHING AND HAS NO PREFERENCES</t>
  </si>
  <si>
    <t>2026-10-19</t>
  </si>
  <si>
    <t>pt discharged. room being flipped</t>
  </si>
  <si>
    <t>7.96</t>
  </si>
  <si>
    <t>pt was slightly incoherent. had difficulty understanding him (mumbling) but read the menu to him and that was fine.</t>
  </si>
  <si>
    <t>3.06</t>
  </si>
  <si>
    <t>3.65</t>
  </si>
  <si>
    <t>w/ provider and asleep</t>
  </si>
  <si>
    <t>5.05</t>
  </si>
  <si>
    <t>8.84</t>
  </si>
  <si>
    <t>prefers smaller trays w/ less food on them</t>
  </si>
  <si>
    <t>2.92</t>
  </si>
  <si>
    <t>still w/ provider</t>
  </si>
  <si>
    <t>26.40</t>
  </si>
  <si>
    <t>2.61</t>
  </si>
  <si>
    <t>30.68</t>
  </si>
  <si>
    <t>patient is discharging tmw</t>
  </si>
  <si>
    <t>pt getting an IV</t>
  </si>
  <si>
    <t>3A24</t>
  </si>
  <si>
    <t>pt with physical therapist</t>
  </si>
  <si>
    <t>pt wants diet sprite and no coffee on trays</t>
  </si>
  <si>
    <t>pt is asking for sandwiches between meals, as was promised to him.</t>
  </si>
  <si>
    <t>pt is getting discharged at noon</t>
  </si>
  <si>
    <t>pt being prepped for a procedure not a good time</t>
  </si>
  <si>
    <t>2026-10-20</t>
  </si>
  <si>
    <t>pt would like to try blue cheese dressing</t>
  </si>
  <si>
    <t>pt wants vanilla ensure</t>
  </si>
  <si>
    <t>pt dislikes fish</t>
  </si>
  <si>
    <t>2026-10-21</t>
  </si>
  <si>
    <t>12.59</t>
  </si>
  <si>
    <t>2.73</t>
  </si>
  <si>
    <t>20.60</t>
  </si>
  <si>
    <t>pt mentioned allergies. has not had RD consult. We reviewed trays and recipes carefully, while considering allergies</t>
  </si>
  <si>
    <t>5.26</t>
  </si>
  <si>
    <t>8.03</t>
  </si>
  <si>
    <t>pt disoriented w/ difficulty focusing. Resorted to chef selections and did not make changes to trays for tomorrow</t>
  </si>
  <si>
    <t>pt. discharging</t>
  </si>
  <si>
    <t>62.14</t>
  </si>
  <si>
    <t>9.67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</si>
</sst>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3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14" fontId="0" fillId="0" borderId="0" xfId="0" applyNumberFormat="1"/>
    <xf numFmtId="18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lvarez, Crystal G." id="{B0222AE6-AF6F-41BD-8FED-9B34C95F4750}" userId="Alvarez, Crystal G.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3" dT="2026-08-11T17:42:59.99" personId="{B0222AE6-AF6F-41BD-8FED-9B34C95F4750}" id="{D3FF7735-12CE-4124-B812-530317C3CDB5}">
    <text>Data from these two days is assumed, ass I did not track any data whatsoever.</text>
  </threadedComment>
  <threadedComment ref="A7" dT="2026-08-11T17:45:45.21" personId="{B0222AE6-AF6F-41BD-8FED-9B34C95F4750}" id="{633BB6FF-50A6-45FA-B27C-354642007C57}">
    <text>Data for this day is assumed, as I did not track any data.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43"/>
  <sheetViews>
    <sheetView tabSelected="1" zoomScaleNormal="100" workbookViewId="0">
      <pane xSplit="1" ySplit="1" topLeftCell="B628" activePane="bottomRight" state="frozen"/>
      <selection pane="topRight" activeCell="B1" sqref="B1"/>
      <selection pane="bottomLeft" activeCell="A2" sqref="A2"/>
      <selection pane="bottomRight" activeCell="H647" sqref="H647"/>
    </sheetView>
  </sheetViews>
  <sheetFormatPr defaultRowHeight="15.5" x14ac:dyDescent="0.35"/>
  <cols>
    <col min="1" max="1" width="14.83203125" customWidth="1"/>
    <col min="2" max="2" width="15.08203125" customWidth="1"/>
    <col min="3" max="3" width="16.08203125" style="9" customWidth="1"/>
    <col min="4" max="4" width="8.83203125" style="1" customWidth="1"/>
    <col min="5" max="5" width="10.83203125" style="11" customWidth="1"/>
    <col min="6" max="6" width="21.08203125" style="1" customWidth="1"/>
    <col min="7" max="7" width="55.75" style="14" customWidth="1"/>
    <col min="8" max="8" width="24.25" customWidth="1"/>
  </cols>
  <sheetData>
    <row r="1" spans="1:8" x14ac:dyDescent="0.35">
      <c r="A1" t="s">
        <v>0</v>
      </c>
      <c r="B1" t="s">
        <v>1</v>
      </c>
      <c r="C1" s="9" t="s">
        <v>2</v>
      </c>
      <c r="D1" s="1" t="s">
        <v>3</v>
      </c>
      <c r="E1" s="11" t="s">
        <v>4</v>
      </c>
      <c r="F1" s="1" t="s">
        <v>5</v>
      </c>
      <c r="G1" s="14" t="s">
        <v>6</v>
      </c>
      <c r="H1" t="s">
        <v>186</v>
      </c>
    </row>
    <row r="2" spans="1:8" x14ac:dyDescent="0.35">
      <c r="A2" t="s">
        <v>9</v>
      </c>
      <c r="B2" t="s">
        <v>10</v>
      </c>
      <c r="C2" s="9" t="s">
        <v>22</v>
      </c>
      <c r="E2" s="11" t="s">
        <v>13</v>
      </c>
      <c r="F2" s="1">
        <v>4</v>
      </c>
    </row>
    <row r="3" spans="1:8" x14ac:dyDescent="0.35">
      <c r="A3" t="s">
        <v>9</v>
      </c>
      <c r="B3" t="s">
        <v>10</v>
      </c>
      <c r="C3" s="9" t="s">
        <v>22</v>
      </c>
      <c r="E3" s="11" t="s">
        <v>13</v>
      </c>
      <c r="F3" s="1">
        <v>4</v>
      </c>
    </row>
    <row r="4" spans="1:8" x14ac:dyDescent="0.35">
      <c r="A4" t="s">
        <v>9</v>
      </c>
      <c r="B4" t="s">
        <v>10</v>
      </c>
      <c r="C4" s="9" t="s">
        <v>22</v>
      </c>
      <c r="E4" s="11" t="s">
        <v>13</v>
      </c>
      <c r="F4" s="1">
        <v>4</v>
      </c>
    </row>
    <row r="5" spans="1:8" x14ac:dyDescent="0.35">
      <c r="A5" t="s">
        <v>9</v>
      </c>
      <c r="B5" t="s">
        <v>10</v>
      </c>
      <c r="C5" s="9" t="s">
        <v>22</v>
      </c>
      <c r="E5" s="11" t="s">
        <v>13</v>
      </c>
      <c r="F5" s="1">
        <v>5</v>
      </c>
    </row>
    <row r="6" spans="1:8" x14ac:dyDescent="0.35">
      <c r="A6" t="s">
        <v>9</v>
      </c>
      <c r="B6" t="s">
        <v>18</v>
      </c>
      <c r="C6" s="9" t="s">
        <v>22</v>
      </c>
      <c r="E6" s="11" t="s">
        <v>13</v>
      </c>
      <c r="F6" s="1">
        <v>6</v>
      </c>
    </row>
    <row r="7" spans="1:8" x14ac:dyDescent="0.35">
      <c r="A7" t="s">
        <v>9</v>
      </c>
      <c r="B7" t="s">
        <v>18</v>
      </c>
      <c r="C7" s="9" t="s">
        <v>22</v>
      </c>
      <c r="E7" s="11" t="s">
        <v>13</v>
      </c>
      <c r="F7" s="1">
        <v>6</v>
      </c>
    </row>
    <row r="8" spans="1:8" x14ac:dyDescent="0.35">
      <c r="A8" t="s">
        <v>9</v>
      </c>
      <c r="B8" t="s">
        <v>18</v>
      </c>
      <c r="C8" s="9" t="s">
        <v>22</v>
      </c>
      <c r="E8" s="11" t="s">
        <v>13</v>
      </c>
      <c r="F8" s="1">
        <v>6</v>
      </c>
    </row>
    <row r="9" spans="1:8" x14ac:dyDescent="0.35">
      <c r="A9" t="s">
        <v>9</v>
      </c>
      <c r="B9" t="s">
        <v>18</v>
      </c>
      <c r="C9" s="9" t="s">
        <v>22</v>
      </c>
      <c r="E9" s="11" t="s">
        <v>13</v>
      </c>
      <c r="F9" s="1">
        <v>6</v>
      </c>
    </row>
    <row r="10" spans="1:8" x14ac:dyDescent="0.35">
      <c r="A10" t="s">
        <v>9</v>
      </c>
      <c r="B10" t="s">
        <v>18</v>
      </c>
      <c r="C10" s="9" t="s">
        <v>22</v>
      </c>
      <c r="E10" s="11" t="s">
        <v>13</v>
      </c>
      <c r="F10" s="1">
        <v>6</v>
      </c>
    </row>
    <row r="11" spans="1:8" x14ac:dyDescent="0.35">
      <c r="A11" t="s">
        <v>9</v>
      </c>
      <c r="B11" t="s">
        <v>18</v>
      </c>
      <c r="C11" s="9" t="s">
        <v>22</v>
      </c>
      <c r="E11" s="11" t="s">
        <v>13</v>
      </c>
      <c r="F11" s="1">
        <v>9.2799999999999994</v>
      </c>
    </row>
    <row r="12" spans="1:8" x14ac:dyDescent="0.35">
      <c r="A12" t="s">
        <v>9</v>
      </c>
      <c r="B12" t="s">
        <v>10</v>
      </c>
      <c r="C12" s="9" t="s">
        <v>31</v>
      </c>
      <c r="E12" s="11" t="s">
        <v>13</v>
      </c>
      <c r="F12" s="1">
        <v>4</v>
      </c>
    </row>
    <row r="13" spans="1:8" x14ac:dyDescent="0.35">
      <c r="A13" t="s">
        <v>9</v>
      </c>
      <c r="B13" t="s">
        <v>10</v>
      </c>
      <c r="C13" s="9" t="s">
        <v>31</v>
      </c>
      <c r="E13" s="11" t="s">
        <v>13</v>
      </c>
      <c r="F13" s="1">
        <v>4</v>
      </c>
    </row>
    <row r="14" spans="1:8" x14ac:dyDescent="0.35">
      <c r="A14" t="s">
        <v>9</v>
      </c>
      <c r="B14" t="s">
        <v>10</v>
      </c>
      <c r="C14" s="9" t="s">
        <v>31</v>
      </c>
      <c r="E14" s="11" t="s">
        <v>17</v>
      </c>
      <c r="G14" s="14" t="s">
        <v>350</v>
      </c>
      <c r="H14" t="s">
        <v>194</v>
      </c>
    </row>
    <row r="15" spans="1:8" x14ac:dyDescent="0.35">
      <c r="A15" t="s">
        <v>9</v>
      </c>
      <c r="B15" t="s">
        <v>18</v>
      </c>
      <c r="C15" s="9" t="s">
        <v>31</v>
      </c>
      <c r="E15" s="11" t="s">
        <v>17</v>
      </c>
      <c r="G15" s="14" t="s">
        <v>350</v>
      </c>
      <c r="H15" t="s">
        <v>194</v>
      </c>
    </row>
    <row r="16" spans="1:8" x14ac:dyDescent="0.35">
      <c r="A16" t="s">
        <v>9</v>
      </c>
      <c r="B16" t="s">
        <v>10</v>
      </c>
      <c r="C16" s="9" t="s">
        <v>11</v>
      </c>
      <c r="D16" s="1" t="s">
        <v>12</v>
      </c>
      <c r="E16" s="11" t="s">
        <v>13</v>
      </c>
      <c r="F16" s="1">
        <v>5.58</v>
      </c>
      <c r="G16" s="14" t="s">
        <v>14</v>
      </c>
    </row>
    <row r="17" spans="1:8" x14ac:dyDescent="0.35">
      <c r="A17" t="s">
        <v>9</v>
      </c>
      <c r="B17" t="s">
        <v>10</v>
      </c>
      <c r="C17" s="9" t="s">
        <v>11</v>
      </c>
      <c r="D17" s="1" t="s">
        <v>15</v>
      </c>
      <c r="E17" s="11" t="s">
        <v>13</v>
      </c>
      <c r="F17" s="1">
        <v>3.08</v>
      </c>
      <c r="G17" s="14" t="s">
        <v>14</v>
      </c>
    </row>
    <row r="18" spans="1:8" x14ac:dyDescent="0.35">
      <c r="A18" t="s">
        <v>9</v>
      </c>
      <c r="B18" t="s">
        <v>10</v>
      </c>
      <c r="C18" s="9" t="s">
        <v>11</v>
      </c>
      <c r="D18" s="1" t="s">
        <v>16</v>
      </c>
      <c r="E18" s="11" t="s">
        <v>17</v>
      </c>
      <c r="G18" s="14" t="s">
        <v>350</v>
      </c>
      <c r="H18" t="s">
        <v>194</v>
      </c>
    </row>
    <row r="19" spans="1:8" x14ac:dyDescent="0.35">
      <c r="A19" t="s">
        <v>9</v>
      </c>
      <c r="B19" t="s">
        <v>18</v>
      </c>
      <c r="C19" s="9" t="s">
        <v>11</v>
      </c>
      <c r="D19" s="1" t="s">
        <v>19</v>
      </c>
      <c r="E19" s="11" t="s">
        <v>13</v>
      </c>
      <c r="F19" s="1">
        <v>12.74</v>
      </c>
      <c r="G19" s="14" t="s">
        <v>20</v>
      </c>
    </row>
    <row r="20" spans="1:8" x14ac:dyDescent="0.35">
      <c r="A20" t="s">
        <v>21</v>
      </c>
      <c r="B20" t="s">
        <v>10</v>
      </c>
      <c r="C20" s="9" t="s">
        <v>22</v>
      </c>
      <c r="D20" s="1" t="s">
        <v>15</v>
      </c>
      <c r="E20" s="11" t="s">
        <v>13</v>
      </c>
      <c r="F20" s="1">
        <v>6</v>
      </c>
      <c r="G20" s="14" t="s">
        <v>14</v>
      </c>
    </row>
    <row r="21" spans="1:8" x14ac:dyDescent="0.35">
      <c r="A21" t="s">
        <v>21</v>
      </c>
      <c r="B21" t="s">
        <v>10</v>
      </c>
      <c r="C21" s="9" t="s">
        <v>22</v>
      </c>
      <c r="D21" s="1" t="s">
        <v>24</v>
      </c>
      <c r="E21" s="11" t="s">
        <v>13</v>
      </c>
      <c r="F21" s="1">
        <v>6</v>
      </c>
      <c r="G21" s="14" t="s">
        <v>14</v>
      </c>
    </row>
    <row r="22" spans="1:8" x14ac:dyDescent="0.35">
      <c r="A22" t="s">
        <v>21</v>
      </c>
      <c r="B22" t="s">
        <v>10</v>
      </c>
      <c r="C22" s="9" t="s">
        <v>22</v>
      </c>
      <c r="D22" s="1" t="s">
        <v>25</v>
      </c>
      <c r="E22" s="11" t="s">
        <v>17</v>
      </c>
      <c r="G22" s="14" t="s">
        <v>350</v>
      </c>
      <c r="H22" t="s">
        <v>194</v>
      </c>
    </row>
    <row r="23" spans="1:8" x14ac:dyDescent="0.35">
      <c r="A23" t="s">
        <v>21</v>
      </c>
      <c r="B23" t="s">
        <v>10</v>
      </c>
      <c r="C23" s="9" t="s">
        <v>11</v>
      </c>
      <c r="D23" s="1" t="s">
        <v>23</v>
      </c>
      <c r="E23" s="11" t="s">
        <v>13</v>
      </c>
      <c r="F23" s="1">
        <v>10</v>
      </c>
      <c r="G23" s="14" t="s">
        <v>14</v>
      </c>
    </row>
    <row r="24" spans="1:8" x14ac:dyDescent="0.35">
      <c r="A24" t="s">
        <v>21</v>
      </c>
      <c r="B24" t="s">
        <v>10</v>
      </c>
      <c r="C24" s="9" t="s">
        <v>11</v>
      </c>
      <c r="D24" s="1" t="s">
        <v>16</v>
      </c>
      <c r="E24" s="11" t="s">
        <v>17</v>
      </c>
      <c r="G24" s="14" t="s">
        <v>26</v>
      </c>
      <c r="H24" t="s">
        <v>189</v>
      </c>
    </row>
    <row r="25" spans="1:8" x14ac:dyDescent="0.35">
      <c r="A25" t="s">
        <v>21</v>
      </c>
      <c r="B25" t="s">
        <v>18</v>
      </c>
      <c r="C25" s="9" t="s">
        <v>11</v>
      </c>
      <c r="D25" s="1" t="s">
        <v>19</v>
      </c>
      <c r="E25" s="11" t="s">
        <v>17</v>
      </c>
      <c r="G25" s="14" t="s">
        <v>27</v>
      </c>
      <c r="H25" t="s">
        <v>189</v>
      </c>
    </row>
    <row r="26" spans="1:8" x14ac:dyDescent="0.35">
      <c r="A26" t="s">
        <v>21</v>
      </c>
      <c r="B26" t="s">
        <v>18</v>
      </c>
      <c r="C26" s="9" t="s">
        <v>11</v>
      </c>
      <c r="D26" s="1" t="s">
        <v>28</v>
      </c>
      <c r="E26" s="11" t="s">
        <v>13</v>
      </c>
      <c r="F26" s="1">
        <v>13.45</v>
      </c>
      <c r="G26" s="14" t="s">
        <v>14</v>
      </c>
    </row>
    <row r="27" spans="1:8" x14ac:dyDescent="0.35">
      <c r="A27" t="s">
        <v>21</v>
      </c>
      <c r="B27" t="s">
        <v>18</v>
      </c>
      <c r="C27" s="9" t="s">
        <v>11</v>
      </c>
      <c r="D27" s="1" t="s">
        <v>29</v>
      </c>
      <c r="E27" s="11" t="s">
        <v>13</v>
      </c>
      <c r="F27" s="1">
        <v>12.36</v>
      </c>
      <c r="G27" s="14" t="s">
        <v>14</v>
      </c>
    </row>
    <row r="28" spans="1:8" x14ac:dyDescent="0.35">
      <c r="A28" t="s">
        <v>21</v>
      </c>
      <c r="B28" t="s">
        <v>10</v>
      </c>
      <c r="C28" s="9" t="s">
        <v>11</v>
      </c>
      <c r="D28" s="1" t="s">
        <v>25</v>
      </c>
      <c r="E28" s="11" t="s">
        <v>13</v>
      </c>
      <c r="F28" s="1">
        <v>8.3699999999999992</v>
      </c>
      <c r="G28" s="14" t="s">
        <v>14</v>
      </c>
    </row>
    <row r="29" spans="1:8" x14ac:dyDescent="0.35">
      <c r="A29" t="s">
        <v>30</v>
      </c>
      <c r="B29" t="s">
        <v>10</v>
      </c>
      <c r="C29" s="9" t="s">
        <v>31</v>
      </c>
      <c r="D29" s="1" t="s">
        <v>32</v>
      </c>
      <c r="E29" s="11" t="s">
        <v>13</v>
      </c>
      <c r="F29" s="1">
        <v>13.87</v>
      </c>
      <c r="G29" s="14" t="s">
        <v>14</v>
      </c>
    </row>
    <row r="30" spans="1:8" x14ac:dyDescent="0.35">
      <c r="A30" t="s">
        <v>30</v>
      </c>
      <c r="B30" t="s">
        <v>10</v>
      </c>
      <c r="C30" s="9" t="s">
        <v>31</v>
      </c>
      <c r="D30" s="1" t="s">
        <v>33</v>
      </c>
      <c r="E30" s="11" t="s">
        <v>13</v>
      </c>
      <c r="F30" s="1">
        <v>12.53</v>
      </c>
      <c r="G30" s="14" t="s">
        <v>14</v>
      </c>
    </row>
    <row r="31" spans="1:8" x14ac:dyDescent="0.35">
      <c r="A31" t="s">
        <v>30</v>
      </c>
      <c r="B31" t="s">
        <v>10</v>
      </c>
      <c r="C31" s="9" t="s">
        <v>31</v>
      </c>
      <c r="D31" s="1" t="s">
        <v>34</v>
      </c>
      <c r="E31" s="11" t="s">
        <v>13</v>
      </c>
      <c r="F31" s="1">
        <v>5.29</v>
      </c>
      <c r="G31" s="14" t="s">
        <v>14</v>
      </c>
    </row>
    <row r="32" spans="1:8" x14ac:dyDescent="0.35">
      <c r="A32" t="s">
        <v>30</v>
      </c>
      <c r="B32" t="s">
        <v>10</v>
      </c>
      <c r="C32" s="9" t="s">
        <v>31</v>
      </c>
      <c r="D32" s="1" t="s">
        <v>24</v>
      </c>
      <c r="E32" s="11" t="s">
        <v>17</v>
      </c>
      <c r="G32" s="14" t="s">
        <v>14</v>
      </c>
    </row>
    <row r="33" spans="1:8" x14ac:dyDescent="0.35">
      <c r="A33" t="s">
        <v>30</v>
      </c>
      <c r="B33" t="s">
        <v>18</v>
      </c>
      <c r="C33" s="9" t="s">
        <v>31</v>
      </c>
      <c r="D33" s="1" t="s">
        <v>29</v>
      </c>
      <c r="E33" s="11" t="s">
        <v>13</v>
      </c>
      <c r="F33" s="1">
        <v>8.25</v>
      </c>
      <c r="G33" s="14" t="s">
        <v>14</v>
      </c>
    </row>
    <row r="34" spans="1:8" x14ac:dyDescent="0.35">
      <c r="A34" t="s">
        <v>35</v>
      </c>
      <c r="B34" t="s">
        <v>10</v>
      </c>
      <c r="C34" s="9" t="s">
        <v>22</v>
      </c>
      <c r="D34" s="1" t="s">
        <v>36</v>
      </c>
      <c r="E34" s="11" t="s">
        <v>13</v>
      </c>
      <c r="F34" s="1">
        <v>3.66</v>
      </c>
      <c r="G34" s="14" t="s">
        <v>14</v>
      </c>
    </row>
    <row r="35" spans="1:8" x14ac:dyDescent="0.35">
      <c r="A35" t="s">
        <v>35</v>
      </c>
      <c r="B35" t="s">
        <v>10</v>
      </c>
      <c r="C35" s="9" t="s">
        <v>22</v>
      </c>
      <c r="D35" s="1" t="s">
        <v>32</v>
      </c>
      <c r="E35" s="11" t="s">
        <v>13</v>
      </c>
      <c r="F35" s="1">
        <v>9.0399999999999991</v>
      </c>
      <c r="G35" s="14" t="s">
        <v>14</v>
      </c>
    </row>
    <row r="36" spans="1:8" x14ac:dyDescent="0.35">
      <c r="A36" t="s">
        <v>35</v>
      </c>
      <c r="B36" t="s">
        <v>10</v>
      </c>
      <c r="C36" s="9" t="s">
        <v>22</v>
      </c>
      <c r="D36" s="1" t="s">
        <v>37</v>
      </c>
      <c r="E36" s="11" t="s">
        <v>13</v>
      </c>
      <c r="F36" s="1">
        <v>0.04</v>
      </c>
      <c r="G36" s="14" t="s">
        <v>38</v>
      </c>
    </row>
    <row r="37" spans="1:8" x14ac:dyDescent="0.35">
      <c r="A37" t="s">
        <v>35</v>
      </c>
      <c r="B37" t="s">
        <v>10</v>
      </c>
      <c r="C37" s="9" t="s">
        <v>22</v>
      </c>
      <c r="D37" s="1" t="s">
        <v>34</v>
      </c>
      <c r="E37" s="11" t="s">
        <v>13</v>
      </c>
      <c r="F37" s="1">
        <v>1.96</v>
      </c>
      <c r="G37" s="14" t="s">
        <v>14</v>
      </c>
    </row>
    <row r="38" spans="1:8" x14ac:dyDescent="0.35">
      <c r="A38" t="s">
        <v>35</v>
      </c>
      <c r="B38" t="s">
        <v>18</v>
      </c>
      <c r="C38" s="9" t="s">
        <v>22</v>
      </c>
      <c r="D38" s="1" t="s">
        <v>29</v>
      </c>
      <c r="E38" s="11" t="s">
        <v>17</v>
      </c>
      <c r="G38" s="14" t="s">
        <v>39</v>
      </c>
      <c r="H38" t="s">
        <v>189</v>
      </c>
    </row>
    <row r="39" spans="1:8" x14ac:dyDescent="0.35">
      <c r="A39" t="s">
        <v>35</v>
      </c>
      <c r="B39" t="s">
        <v>18</v>
      </c>
      <c r="C39" s="9" t="s">
        <v>22</v>
      </c>
      <c r="D39" s="1" t="s">
        <v>40</v>
      </c>
      <c r="E39" s="11" t="s">
        <v>17</v>
      </c>
      <c r="G39" s="14" t="s">
        <v>41</v>
      </c>
      <c r="H39" t="s">
        <v>190</v>
      </c>
    </row>
    <row r="40" spans="1:8" x14ac:dyDescent="0.35">
      <c r="A40" t="s">
        <v>35</v>
      </c>
      <c r="B40" t="s">
        <v>18</v>
      </c>
      <c r="C40" s="9" t="s">
        <v>22</v>
      </c>
      <c r="D40" s="1" t="s">
        <v>28</v>
      </c>
      <c r="E40" s="11" t="s">
        <v>17</v>
      </c>
      <c r="G40" s="14" t="s">
        <v>41</v>
      </c>
      <c r="H40" t="s">
        <v>190</v>
      </c>
    </row>
    <row r="41" spans="1:8" x14ac:dyDescent="0.35">
      <c r="A41" t="s">
        <v>35</v>
      </c>
      <c r="B41" t="s">
        <v>18</v>
      </c>
      <c r="C41" s="9" t="s">
        <v>31</v>
      </c>
      <c r="D41" s="1" t="s">
        <v>28</v>
      </c>
      <c r="E41" s="11" t="s">
        <v>13</v>
      </c>
      <c r="F41" s="1">
        <v>0.53</v>
      </c>
      <c r="G41" s="14" t="s">
        <v>81</v>
      </c>
    </row>
    <row r="42" spans="1:8" x14ac:dyDescent="0.35">
      <c r="A42" t="s">
        <v>35</v>
      </c>
      <c r="B42" t="s">
        <v>18</v>
      </c>
      <c r="C42" s="9" t="s">
        <v>31</v>
      </c>
      <c r="D42" s="1" t="s">
        <v>40</v>
      </c>
      <c r="E42" s="11" t="s">
        <v>17</v>
      </c>
      <c r="G42" s="14" t="s">
        <v>82</v>
      </c>
      <c r="H42" t="s">
        <v>189</v>
      </c>
    </row>
    <row r="43" spans="1:8" x14ac:dyDescent="0.35">
      <c r="A43" t="s">
        <v>93</v>
      </c>
      <c r="B43" t="s">
        <v>10</v>
      </c>
      <c r="C43" s="9" t="s">
        <v>31</v>
      </c>
      <c r="D43" s="1" t="s">
        <v>94</v>
      </c>
      <c r="E43" s="11" t="s">
        <v>13</v>
      </c>
      <c r="F43" s="1">
        <v>26.11</v>
      </c>
      <c r="G43" s="14" t="s">
        <v>95</v>
      </c>
    </row>
    <row r="44" spans="1:8" x14ac:dyDescent="0.35">
      <c r="A44" t="s">
        <v>93</v>
      </c>
      <c r="B44" t="s">
        <v>10</v>
      </c>
      <c r="C44" s="9" t="s">
        <v>31</v>
      </c>
      <c r="D44" s="1" t="s">
        <v>36</v>
      </c>
      <c r="E44" s="11" t="s">
        <v>13</v>
      </c>
      <c r="F44" s="1">
        <v>3.34</v>
      </c>
      <c r="G44" s="14" t="s">
        <v>14</v>
      </c>
    </row>
    <row r="45" spans="1:8" x14ac:dyDescent="0.35">
      <c r="A45" t="s">
        <v>93</v>
      </c>
      <c r="B45" t="s">
        <v>10</v>
      </c>
      <c r="C45" s="9" t="s">
        <v>31</v>
      </c>
      <c r="D45" s="1" t="s">
        <v>32</v>
      </c>
      <c r="E45" s="11" t="s">
        <v>13</v>
      </c>
      <c r="F45" s="1">
        <v>10.62</v>
      </c>
      <c r="G45" s="14" t="s">
        <v>14</v>
      </c>
    </row>
    <row r="46" spans="1:8" x14ac:dyDescent="0.35">
      <c r="A46" t="s">
        <v>93</v>
      </c>
      <c r="B46" t="s">
        <v>10</v>
      </c>
      <c r="C46" s="9" t="s">
        <v>11</v>
      </c>
      <c r="D46" s="1" t="s">
        <v>24</v>
      </c>
      <c r="E46" s="11" t="s">
        <v>13</v>
      </c>
      <c r="F46" s="1">
        <v>14.36</v>
      </c>
      <c r="G46" s="14" t="s">
        <v>14</v>
      </c>
    </row>
    <row r="47" spans="1:8" x14ac:dyDescent="0.35">
      <c r="A47" t="s">
        <v>93</v>
      </c>
      <c r="B47" t="s">
        <v>10</v>
      </c>
      <c r="C47" s="9" t="s">
        <v>11</v>
      </c>
      <c r="D47" s="1" t="s">
        <v>34</v>
      </c>
      <c r="E47" s="11" t="s">
        <v>13</v>
      </c>
      <c r="F47" s="1">
        <v>1.01</v>
      </c>
      <c r="G47" s="14" t="s">
        <v>14</v>
      </c>
    </row>
    <row r="48" spans="1:8" x14ac:dyDescent="0.35">
      <c r="A48" t="s">
        <v>93</v>
      </c>
      <c r="B48" t="s">
        <v>18</v>
      </c>
      <c r="C48" s="9" t="s">
        <v>11</v>
      </c>
      <c r="D48" s="1" t="s">
        <v>19</v>
      </c>
      <c r="E48" s="11" t="s">
        <v>13</v>
      </c>
      <c r="F48" s="1">
        <v>3.89</v>
      </c>
      <c r="G48" s="14" t="s">
        <v>14</v>
      </c>
    </row>
    <row r="49" spans="1:8" x14ac:dyDescent="0.35">
      <c r="A49" t="s">
        <v>93</v>
      </c>
      <c r="B49" t="s">
        <v>18</v>
      </c>
      <c r="C49" s="9" t="s">
        <v>11</v>
      </c>
      <c r="D49" s="1" t="s">
        <v>96</v>
      </c>
      <c r="E49" s="11" t="s">
        <v>13</v>
      </c>
      <c r="F49" s="1">
        <v>3.28</v>
      </c>
      <c r="G49" s="14" t="s">
        <v>14</v>
      </c>
    </row>
    <row r="50" spans="1:8" x14ac:dyDescent="0.35">
      <c r="A50" t="s">
        <v>93</v>
      </c>
      <c r="B50" t="s">
        <v>18</v>
      </c>
      <c r="C50" s="9" t="s">
        <v>11</v>
      </c>
      <c r="D50" s="1" t="s">
        <v>12</v>
      </c>
      <c r="E50" s="11" t="s">
        <v>17</v>
      </c>
      <c r="F50" s="1" t="s">
        <v>14</v>
      </c>
      <c r="G50" s="14" t="s">
        <v>97</v>
      </c>
      <c r="H50" t="s">
        <v>191</v>
      </c>
    </row>
    <row r="51" spans="1:8" x14ac:dyDescent="0.35">
      <c r="A51" t="s">
        <v>93</v>
      </c>
      <c r="B51" t="s">
        <v>18</v>
      </c>
      <c r="C51" s="9" t="s">
        <v>11</v>
      </c>
      <c r="D51" s="1" t="s">
        <v>24</v>
      </c>
      <c r="E51" s="11" t="s">
        <v>17</v>
      </c>
      <c r="F51" s="1" t="s">
        <v>14</v>
      </c>
      <c r="G51" s="14" t="s">
        <v>98</v>
      </c>
      <c r="H51" t="s">
        <v>194</v>
      </c>
    </row>
    <row r="52" spans="1:8" x14ac:dyDescent="0.35">
      <c r="A52" t="s">
        <v>99</v>
      </c>
      <c r="B52" t="s">
        <v>10</v>
      </c>
      <c r="C52" s="9" t="s">
        <v>11</v>
      </c>
      <c r="D52" s="1" t="s">
        <v>94</v>
      </c>
      <c r="E52" s="11" t="s">
        <v>13</v>
      </c>
      <c r="F52" s="1">
        <v>12.97</v>
      </c>
      <c r="G52" s="14" t="s">
        <v>14</v>
      </c>
    </row>
    <row r="53" spans="1:8" x14ac:dyDescent="0.35">
      <c r="A53" t="s">
        <v>99</v>
      </c>
      <c r="B53" t="s">
        <v>10</v>
      </c>
      <c r="C53" s="9" t="s">
        <v>11</v>
      </c>
      <c r="D53" s="1" t="s">
        <v>24</v>
      </c>
      <c r="E53" s="11" t="s">
        <v>17</v>
      </c>
      <c r="F53" s="1" t="s">
        <v>14</v>
      </c>
      <c r="G53" s="14" t="s">
        <v>100</v>
      </c>
      <c r="H53" t="s">
        <v>189</v>
      </c>
    </row>
    <row r="54" spans="1:8" x14ac:dyDescent="0.35">
      <c r="A54" t="s">
        <v>99</v>
      </c>
      <c r="B54" t="s">
        <v>10</v>
      </c>
      <c r="C54" s="9" t="s">
        <v>11</v>
      </c>
      <c r="D54" s="1" t="s">
        <v>34</v>
      </c>
      <c r="E54" s="11" t="s">
        <v>13</v>
      </c>
      <c r="F54" s="1">
        <v>1.07</v>
      </c>
      <c r="G54" s="14" t="s">
        <v>101</v>
      </c>
    </row>
    <row r="55" spans="1:8" x14ac:dyDescent="0.35">
      <c r="A55" t="s">
        <v>99</v>
      </c>
      <c r="B55" t="s">
        <v>10</v>
      </c>
      <c r="C55" s="9" t="s">
        <v>11</v>
      </c>
      <c r="D55" s="1" t="s">
        <v>33</v>
      </c>
      <c r="E55" s="11" t="s">
        <v>17</v>
      </c>
      <c r="F55" s="1" t="s">
        <v>14</v>
      </c>
      <c r="G55" s="14" t="s">
        <v>102</v>
      </c>
      <c r="H55" t="s">
        <v>192</v>
      </c>
    </row>
    <row r="56" spans="1:8" x14ac:dyDescent="0.35">
      <c r="A56" t="s">
        <v>99</v>
      </c>
      <c r="B56" t="s">
        <v>18</v>
      </c>
      <c r="C56" s="9" t="s">
        <v>11</v>
      </c>
      <c r="D56" s="1" t="s">
        <v>96</v>
      </c>
      <c r="E56" s="11" t="s">
        <v>17</v>
      </c>
      <c r="F56" s="1" t="s">
        <v>14</v>
      </c>
      <c r="G56" s="14" t="s">
        <v>102</v>
      </c>
      <c r="H56" t="s">
        <v>192</v>
      </c>
    </row>
    <row r="57" spans="1:8" x14ac:dyDescent="0.35">
      <c r="A57" t="s">
        <v>99</v>
      </c>
      <c r="B57" t="s">
        <v>18</v>
      </c>
      <c r="C57" s="9" t="s">
        <v>11</v>
      </c>
      <c r="D57" s="1" t="s">
        <v>103</v>
      </c>
      <c r="E57" s="11" t="s">
        <v>13</v>
      </c>
      <c r="F57" s="1">
        <v>5.52</v>
      </c>
      <c r="G57" s="14" t="s">
        <v>14</v>
      </c>
    </row>
    <row r="58" spans="1:8" x14ac:dyDescent="0.35">
      <c r="A58" t="s">
        <v>99</v>
      </c>
      <c r="B58" t="s">
        <v>18</v>
      </c>
      <c r="C58" s="9" t="s">
        <v>11</v>
      </c>
      <c r="D58" s="1" t="s">
        <v>28</v>
      </c>
      <c r="E58" s="11" t="s">
        <v>17</v>
      </c>
      <c r="F58" s="1" t="s">
        <v>14</v>
      </c>
      <c r="G58" s="14" t="s">
        <v>104</v>
      </c>
      <c r="H58" t="s">
        <v>194</v>
      </c>
    </row>
    <row r="59" spans="1:8" x14ac:dyDescent="0.35">
      <c r="A59" t="s">
        <v>99</v>
      </c>
      <c r="B59" t="s">
        <v>18</v>
      </c>
      <c r="C59" s="9" t="s">
        <v>11</v>
      </c>
      <c r="D59" s="1" t="s">
        <v>12</v>
      </c>
      <c r="E59" s="11" t="s">
        <v>17</v>
      </c>
      <c r="F59" s="1" t="s">
        <v>14</v>
      </c>
      <c r="G59" s="14" t="s">
        <v>105</v>
      </c>
      <c r="H59" t="s">
        <v>190</v>
      </c>
    </row>
    <row r="60" spans="1:8" x14ac:dyDescent="0.35">
      <c r="A60" t="s">
        <v>99</v>
      </c>
      <c r="B60" t="s">
        <v>18</v>
      </c>
      <c r="C60" s="9" t="s">
        <v>11</v>
      </c>
      <c r="D60" s="1" t="s">
        <v>24</v>
      </c>
      <c r="E60" s="11" t="s">
        <v>17</v>
      </c>
      <c r="F60" s="1" t="s">
        <v>14</v>
      </c>
      <c r="G60" s="14" t="s">
        <v>106</v>
      </c>
      <c r="H60" t="s">
        <v>190</v>
      </c>
    </row>
    <row r="61" spans="1:8" x14ac:dyDescent="0.35">
      <c r="A61" t="s">
        <v>107</v>
      </c>
      <c r="B61" t="s">
        <v>10</v>
      </c>
      <c r="C61" s="9" t="s">
        <v>11</v>
      </c>
      <c r="D61" s="1" t="s">
        <v>32</v>
      </c>
      <c r="E61" s="11" t="s">
        <v>17</v>
      </c>
      <c r="F61" s="1" t="s">
        <v>14</v>
      </c>
      <c r="G61" s="14" t="s">
        <v>105</v>
      </c>
      <c r="H61" t="s">
        <v>190</v>
      </c>
    </row>
    <row r="62" spans="1:8" x14ac:dyDescent="0.35">
      <c r="A62" t="s">
        <v>107</v>
      </c>
      <c r="B62" t="s">
        <v>10</v>
      </c>
      <c r="C62" s="9" t="s">
        <v>11</v>
      </c>
      <c r="D62" s="1" t="s">
        <v>37</v>
      </c>
      <c r="E62" s="11" t="s">
        <v>17</v>
      </c>
      <c r="F62" s="1" t="s">
        <v>14</v>
      </c>
      <c r="G62" s="14" t="s">
        <v>108</v>
      </c>
      <c r="H62" t="s">
        <v>191</v>
      </c>
    </row>
    <row r="63" spans="1:8" x14ac:dyDescent="0.35">
      <c r="A63" t="s">
        <v>107</v>
      </c>
      <c r="B63" t="s">
        <v>10</v>
      </c>
      <c r="C63" s="9" t="s">
        <v>11</v>
      </c>
      <c r="D63" s="1" t="s">
        <v>34</v>
      </c>
      <c r="E63" s="11" t="s">
        <v>13</v>
      </c>
      <c r="F63" s="1">
        <v>3.39</v>
      </c>
      <c r="G63" s="14" t="s">
        <v>14</v>
      </c>
    </row>
    <row r="64" spans="1:8" x14ac:dyDescent="0.35">
      <c r="A64" t="s">
        <v>107</v>
      </c>
      <c r="B64" t="s">
        <v>18</v>
      </c>
      <c r="C64" s="9" t="s">
        <v>11</v>
      </c>
      <c r="D64" s="1" t="s">
        <v>103</v>
      </c>
      <c r="E64" s="11" t="s">
        <v>13</v>
      </c>
      <c r="F64" s="1">
        <v>2.42</v>
      </c>
      <c r="G64" s="14" t="s">
        <v>14</v>
      </c>
    </row>
    <row r="65" spans="1:8" x14ac:dyDescent="0.35">
      <c r="A65" t="s">
        <v>107</v>
      </c>
      <c r="B65" t="s">
        <v>18</v>
      </c>
      <c r="C65" s="9" t="s">
        <v>11</v>
      </c>
      <c r="D65" s="1" t="s">
        <v>96</v>
      </c>
      <c r="E65" s="11" t="s">
        <v>13</v>
      </c>
      <c r="F65" s="1">
        <v>23.01</v>
      </c>
      <c r="G65" s="14" t="s">
        <v>14</v>
      </c>
    </row>
    <row r="66" spans="1:8" x14ac:dyDescent="0.35">
      <c r="A66" t="s">
        <v>109</v>
      </c>
      <c r="B66" t="s">
        <v>10</v>
      </c>
      <c r="C66" s="9" t="s">
        <v>11</v>
      </c>
      <c r="D66" s="1" t="s">
        <v>36</v>
      </c>
      <c r="E66" s="11" t="s">
        <v>13</v>
      </c>
      <c r="F66" s="1">
        <v>3.93</v>
      </c>
      <c r="G66" s="14" t="s">
        <v>14</v>
      </c>
    </row>
    <row r="67" spans="1:8" x14ac:dyDescent="0.35">
      <c r="A67" t="s">
        <v>109</v>
      </c>
      <c r="B67" t="s">
        <v>10</v>
      </c>
      <c r="C67" s="9" t="s">
        <v>11</v>
      </c>
      <c r="D67" s="1" t="s">
        <v>94</v>
      </c>
      <c r="E67" s="11" t="s">
        <v>13</v>
      </c>
      <c r="F67" s="1">
        <v>4.3899999999999997</v>
      </c>
    </row>
    <row r="68" spans="1:8" x14ac:dyDescent="0.35">
      <c r="A68" t="s">
        <v>109</v>
      </c>
      <c r="B68" t="s">
        <v>10</v>
      </c>
      <c r="C68" s="9" t="s">
        <v>11</v>
      </c>
      <c r="D68" s="1" t="s">
        <v>110</v>
      </c>
      <c r="E68" s="11" t="s">
        <v>13</v>
      </c>
      <c r="F68" s="1">
        <v>8.07</v>
      </c>
    </row>
    <row r="69" spans="1:8" x14ac:dyDescent="0.35">
      <c r="A69" t="s">
        <v>109</v>
      </c>
      <c r="B69" t="s">
        <v>10</v>
      </c>
      <c r="C69" s="9" t="s">
        <v>11</v>
      </c>
      <c r="D69" s="1" t="s">
        <v>32</v>
      </c>
      <c r="E69" s="11" t="s">
        <v>17</v>
      </c>
      <c r="F69" s="1" t="s">
        <v>14</v>
      </c>
      <c r="G69" s="14" t="s">
        <v>111</v>
      </c>
      <c r="H69" t="s">
        <v>189</v>
      </c>
    </row>
    <row r="70" spans="1:8" x14ac:dyDescent="0.35">
      <c r="A70" t="s">
        <v>109</v>
      </c>
      <c r="B70" t="s">
        <v>10</v>
      </c>
      <c r="C70" s="9" t="s">
        <v>11</v>
      </c>
      <c r="D70" s="1" t="s">
        <v>37</v>
      </c>
      <c r="E70" s="11" t="s">
        <v>13</v>
      </c>
      <c r="F70" s="1">
        <v>1.76</v>
      </c>
      <c r="G70" s="14" t="s">
        <v>112</v>
      </c>
    </row>
    <row r="71" spans="1:8" x14ac:dyDescent="0.35">
      <c r="A71" t="s">
        <v>109</v>
      </c>
      <c r="B71" t="s">
        <v>10</v>
      </c>
      <c r="C71" s="9" t="s">
        <v>11</v>
      </c>
      <c r="D71" s="1" t="s">
        <v>113</v>
      </c>
      <c r="E71" s="11" t="s">
        <v>13</v>
      </c>
      <c r="F71" s="1">
        <v>3.09</v>
      </c>
    </row>
    <row r="72" spans="1:8" x14ac:dyDescent="0.35">
      <c r="A72" t="s">
        <v>109</v>
      </c>
      <c r="B72" t="s">
        <v>10</v>
      </c>
      <c r="C72" s="9" t="s">
        <v>11</v>
      </c>
      <c r="D72" s="1" t="s">
        <v>114</v>
      </c>
      <c r="E72" s="11" t="s">
        <v>13</v>
      </c>
      <c r="F72" s="1">
        <v>4.4400000000000004</v>
      </c>
      <c r="G72" s="14" t="s">
        <v>14</v>
      </c>
    </row>
    <row r="73" spans="1:8" x14ac:dyDescent="0.35">
      <c r="A73" t="s">
        <v>109</v>
      </c>
      <c r="B73" t="s">
        <v>10</v>
      </c>
      <c r="C73" s="9" t="s">
        <v>11</v>
      </c>
      <c r="D73" s="1" t="s">
        <v>33</v>
      </c>
      <c r="E73" s="11" t="s">
        <v>13</v>
      </c>
      <c r="F73" s="1">
        <v>5.27</v>
      </c>
      <c r="G73" s="14" t="s">
        <v>14</v>
      </c>
    </row>
    <row r="74" spans="1:8" x14ac:dyDescent="0.35">
      <c r="A74" t="s">
        <v>109</v>
      </c>
      <c r="B74" t="s">
        <v>18</v>
      </c>
      <c r="C74" s="9" t="s">
        <v>11</v>
      </c>
      <c r="D74" s="1" t="s">
        <v>28</v>
      </c>
      <c r="E74" s="11" t="s">
        <v>13</v>
      </c>
      <c r="F74" s="1">
        <v>3.62</v>
      </c>
      <c r="G74" s="14" t="s">
        <v>14</v>
      </c>
    </row>
    <row r="75" spans="1:8" x14ac:dyDescent="0.35">
      <c r="A75" t="s">
        <v>109</v>
      </c>
      <c r="B75" t="s">
        <v>18</v>
      </c>
      <c r="C75" s="9" t="s">
        <v>11</v>
      </c>
      <c r="D75" s="1" t="s">
        <v>103</v>
      </c>
      <c r="E75" s="11" t="s">
        <v>13</v>
      </c>
      <c r="F75" s="1">
        <v>4.88</v>
      </c>
      <c r="G75" s="14" t="s">
        <v>14</v>
      </c>
    </row>
    <row r="76" spans="1:8" x14ac:dyDescent="0.35">
      <c r="A76" t="s">
        <v>115</v>
      </c>
      <c r="B76" t="s">
        <v>10</v>
      </c>
      <c r="C76" s="9" t="s">
        <v>11</v>
      </c>
      <c r="D76" s="1" t="s">
        <v>94</v>
      </c>
      <c r="E76" s="11" t="s">
        <v>13</v>
      </c>
      <c r="F76" s="1">
        <v>6.81</v>
      </c>
      <c r="G76" s="14" t="s">
        <v>14</v>
      </c>
    </row>
    <row r="77" spans="1:8" x14ac:dyDescent="0.35">
      <c r="A77" t="s">
        <v>115</v>
      </c>
      <c r="B77" t="s">
        <v>10</v>
      </c>
      <c r="C77" s="9" t="s">
        <v>11</v>
      </c>
      <c r="D77" s="1" t="s">
        <v>114</v>
      </c>
      <c r="E77" s="11" t="s">
        <v>13</v>
      </c>
      <c r="F77" s="1">
        <v>2.95</v>
      </c>
      <c r="G77" s="14" t="s">
        <v>14</v>
      </c>
    </row>
    <row r="78" spans="1:8" x14ac:dyDescent="0.35">
      <c r="A78" t="s">
        <v>115</v>
      </c>
      <c r="B78" t="s">
        <v>10</v>
      </c>
      <c r="C78" s="9" t="s">
        <v>11</v>
      </c>
      <c r="D78" s="1" t="s">
        <v>34</v>
      </c>
      <c r="E78" s="11" t="s">
        <v>13</v>
      </c>
      <c r="F78" s="1">
        <v>5.52</v>
      </c>
      <c r="G78" s="14" t="s">
        <v>14</v>
      </c>
    </row>
    <row r="79" spans="1:8" x14ac:dyDescent="0.35">
      <c r="A79" t="s">
        <v>115</v>
      </c>
      <c r="B79" t="s">
        <v>10</v>
      </c>
      <c r="C79" s="9" t="s">
        <v>11</v>
      </c>
      <c r="D79" s="1" t="s">
        <v>24</v>
      </c>
      <c r="E79" s="11" t="s">
        <v>13</v>
      </c>
      <c r="F79" s="1">
        <v>2.25</v>
      </c>
      <c r="G79" s="14" t="s">
        <v>14</v>
      </c>
    </row>
    <row r="80" spans="1:8" x14ac:dyDescent="0.35">
      <c r="A80" t="s">
        <v>115</v>
      </c>
      <c r="B80" t="s">
        <v>10</v>
      </c>
      <c r="C80" s="9" t="s">
        <v>11</v>
      </c>
      <c r="D80" s="1" t="s">
        <v>116</v>
      </c>
      <c r="E80" s="11" t="s">
        <v>13</v>
      </c>
      <c r="F80" s="1">
        <v>2.2799999999999998</v>
      </c>
      <c r="G80" s="14" t="s">
        <v>14</v>
      </c>
    </row>
    <row r="81" spans="1:8" x14ac:dyDescent="0.35">
      <c r="A81" t="s">
        <v>115</v>
      </c>
      <c r="B81" t="s">
        <v>10</v>
      </c>
      <c r="C81" s="9" t="s">
        <v>11</v>
      </c>
      <c r="D81" s="1" t="s">
        <v>15</v>
      </c>
      <c r="E81" s="11" t="s">
        <v>13</v>
      </c>
      <c r="F81" s="1">
        <v>3.72</v>
      </c>
      <c r="G81" s="14" t="s">
        <v>14</v>
      </c>
    </row>
    <row r="82" spans="1:8" x14ac:dyDescent="0.35">
      <c r="A82" t="s">
        <v>115</v>
      </c>
      <c r="B82" t="s">
        <v>10</v>
      </c>
      <c r="C82" s="9" t="s">
        <v>11</v>
      </c>
      <c r="D82" s="1" t="s">
        <v>36</v>
      </c>
      <c r="E82" s="11" t="s">
        <v>13</v>
      </c>
      <c r="F82" s="1">
        <v>3.57</v>
      </c>
      <c r="G82" s="14" t="s">
        <v>14</v>
      </c>
    </row>
    <row r="83" spans="1:8" x14ac:dyDescent="0.35">
      <c r="A83" t="s">
        <v>115</v>
      </c>
      <c r="B83" t="s">
        <v>10</v>
      </c>
      <c r="C83" s="9" t="s">
        <v>11</v>
      </c>
      <c r="D83" s="1" t="s">
        <v>37</v>
      </c>
      <c r="E83" s="11" t="s">
        <v>13</v>
      </c>
      <c r="F83" s="1">
        <v>3.66</v>
      </c>
      <c r="G83" s="14" t="s">
        <v>14</v>
      </c>
    </row>
    <row r="84" spans="1:8" x14ac:dyDescent="0.35">
      <c r="A84" t="s">
        <v>117</v>
      </c>
      <c r="B84" t="s">
        <v>10</v>
      </c>
      <c r="C84" s="9" t="s">
        <v>11</v>
      </c>
      <c r="D84" s="1" t="s">
        <v>94</v>
      </c>
      <c r="E84" s="11" t="s">
        <v>13</v>
      </c>
      <c r="F84" s="1">
        <v>3.53</v>
      </c>
      <c r="G84" s="14" t="s">
        <v>14</v>
      </c>
    </row>
    <row r="85" spans="1:8" x14ac:dyDescent="0.35">
      <c r="A85" t="s">
        <v>117</v>
      </c>
      <c r="B85" t="s">
        <v>10</v>
      </c>
      <c r="C85" s="9" t="s">
        <v>11</v>
      </c>
      <c r="D85" s="1" t="s">
        <v>33</v>
      </c>
      <c r="E85" s="11" t="s">
        <v>17</v>
      </c>
      <c r="F85" s="1" t="s">
        <v>14</v>
      </c>
      <c r="G85" s="14" t="s">
        <v>27</v>
      </c>
      <c r="H85" t="s">
        <v>189</v>
      </c>
    </row>
    <row r="86" spans="1:8" x14ac:dyDescent="0.35">
      <c r="A86" t="s">
        <v>117</v>
      </c>
      <c r="B86" t="s">
        <v>10</v>
      </c>
      <c r="C86" s="9" t="s">
        <v>11</v>
      </c>
      <c r="E86" s="11" t="s">
        <v>13</v>
      </c>
      <c r="F86" s="1">
        <v>3</v>
      </c>
    </row>
    <row r="87" spans="1:8" x14ac:dyDescent="0.35">
      <c r="A87" t="s">
        <v>117</v>
      </c>
      <c r="B87" t="s">
        <v>10</v>
      </c>
      <c r="C87" s="9" t="s">
        <v>11</v>
      </c>
      <c r="E87" s="11" t="s">
        <v>13</v>
      </c>
      <c r="F87" s="1">
        <v>3</v>
      </c>
    </row>
    <row r="88" spans="1:8" x14ac:dyDescent="0.35">
      <c r="A88" t="s">
        <v>117</v>
      </c>
      <c r="B88" t="s">
        <v>10</v>
      </c>
      <c r="C88" s="9" t="s">
        <v>11</v>
      </c>
      <c r="E88" s="11" t="s">
        <v>17</v>
      </c>
      <c r="G88" s="14" t="s">
        <v>352</v>
      </c>
      <c r="H88" t="s">
        <v>194</v>
      </c>
    </row>
    <row r="89" spans="1:8" x14ac:dyDescent="0.35">
      <c r="A89" t="s">
        <v>117</v>
      </c>
      <c r="B89" t="s">
        <v>18</v>
      </c>
      <c r="C89" s="9" t="s">
        <v>11</v>
      </c>
      <c r="E89" s="11" t="s">
        <v>13</v>
      </c>
      <c r="F89" s="1">
        <v>4</v>
      </c>
    </row>
    <row r="90" spans="1:8" x14ac:dyDescent="0.35">
      <c r="A90" t="s">
        <v>117</v>
      </c>
      <c r="B90" t="s">
        <v>18</v>
      </c>
      <c r="C90" s="9" t="s">
        <v>11</v>
      </c>
      <c r="E90" s="11" t="s">
        <v>13</v>
      </c>
      <c r="F90" s="1">
        <v>4</v>
      </c>
    </row>
    <row r="91" spans="1:8" x14ac:dyDescent="0.35">
      <c r="A91" t="s">
        <v>117</v>
      </c>
      <c r="B91" t="s">
        <v>18</v>
      </c>
      <c r="C91" s="9" t="s">
        <v>11</v>
      </c>
      <c r="E91" s="11" t="s">
        <v>13</v>
      </c>
      <c r="F91" s="1">
        <v>4</v>
      </c>
    </row>
    <row r="92" spans="1:8" x14ac:dyDescent="0.35">
      <c r="A92" t="s">
        <v>117</v>
      </c>
      <c r="B92" t="s">
        <v>18</v>
      </c>
      <c r="C92" s="9" t="s">
        <v>11</v>
      </c>
      <c r="E92" s="11" t="s">
        <v>13</v>
      </c>
      <c r="F92" s="1">
        <v>4</v>
      </c>
    </row>
    <row r="93" spans="1:8" x14ac:dyDescent="0.35">
      <c r="A93" t="s">
        <v>117</v>
      </c>
      <c r="B93" t="s">
        <v>18</v>
      </c>
      <c r="C93" s="9" t="s">
        <v>11</v>
      </c>
      <c r="D93" s="1" t="s">
        <v>19</v>
      </c>
      <c r="E93" s="11" t="s">
        <v>13</v>
      </c>
      <c r="F93" s="1">
        <v>3.71</v>
      </c>
      <c r="G93" s="14" t="s">
        <v>14</v>
      </c>
    </row>
    <row r="94" spans="1:8" x14ac:dyDescent="0.35">
      <c r="A94" t="s">
        <v>118</v>
      </c>
      <c r="B94" t="s">
        <v>10</v>
      </c>
      <c r="C94" s="9" t="s">
        <v>11</v>
      </c>
      <c r="D94" s="1" t="s">
        <v>116</v>
      </c>
      <c r="E94" s="11" t="s">
        <v>13</v>
      </c>
      <c r="F94" s="1">
        <v>3.54</v>
      </c>
      <c r="G94" s="14" t="s">
        <v>14</v>
      </c>
    </row>
    <row r="95" spans="1:8" x14ac:dyDescent="0.35">
      <c r="A95" t="s">
        <v>118</v>
      </c>
      <c r="B95" t="s">
        <v>10</v>
      </c>
      <c r="C95" s="9" t="s">
        <v>11</v>
      </c>
      <c r="D95" s="1" t="s">
        <v>119</v>
      </c>
      <c r="E95" s="11" t="s">
        <v>17</v>
      </c>
      <c r="F95" s="1" t="s">
        <v>14</v>
      </c>
      <c r="G95" s="14" t="s">
        <v>188</v>
      </c>
      <c r="H95" t="s">
        <v>191</v>
      </c>
    </row>
    <row r="96" spans="1:8" x14ac:dyDescent="0.35">
      <c r="A96" t="s">
        <v>118</v>
      </c>
      <c r="B96" t="s">
        <v>18</v>
      </c>
      <c r="C96" s="9" t="s">
        <v>11</v>
      </c>
      <c r="D96" s="1" t="s">
        <v>19</v>
      </c>
      <c r="E96" s="11" t="s">
        <v>17</v>
      </c>
      <c r="F96" s="1" t="s">
        <v>14</v>
      </c>
      <c r="G96" s="14" t="s">
        <v>120</v>
      </c>
      <c r="H96" t="s">
        <v>189</v>
      </c>
    </row>
    <row r="97" spans="1:8" x14ac:dyDescent="0.35">
      <c r="A97" t="s">
        <v>118</v>
      </c>
      <c r="B97" t="s">
        <v>18</v>
      </c>
      <c r="C97" s="9" t="s">
        <v>11</v>
      </c>
      <c r="D97" s="1" t="s">
        <v>96</v>
      </c>
      <c r="E97" s="11" t="s">
        <v>13</v>
      </c>
      <c r="F97" s="1">
        <v>9.01</v>
      </c>
      <c r="G97" s="14" t="s">
        <v>14</v>
      </c>
    </row>
    <row r="98" spans="1:8" x14ac:dyDescent="0.35">
      <c r="A98" t="s">
        <v>118</v>
      </c>
      <c r="B98" t="s">
        <v>18</v>
      </c>
      <c r="C98" s="9" t="s">
        <v>11</v>
      </c>
      <c r="D98" s="1" t="s">
        <v>15</v>
      </c>
      <c r="E98" s="11" t="s">
        <v>17</v>
      </c>
      <c r="F98" s="1" t="s">
        <v>14</v>
      </c>
      <c r="G98" s="14" t="s">
        <v>102</v>
      </c>
      <c r="H98" t="s">
        <v>192</v>
      </c>
    </row>
    <row r="99" spans="1:8" x14ac:dyDescent="0.35">
      <c r="A99" t="s">
        <v>118</v>
      </c>
      <c r="B99" t="s">
        <v>18</v>
      </c>
      <c r="C99" s="9" t="s">
        <v>11</v>
      </c>
      <c r="D99" s="1" t="s">
        <v>29</v>
      </c>
      <c r="E99" s="11" t="s">
        <v>13</v>
      </c>
      <c r="F99" s="1">
        <v>4.1399999999999997</v>
      </c>
      <c r="G99" s="14" t="s">
        <v>121</v>
      </c>
    </row>
    <row r="100" spans="1:8" x14ac:dyDescent="0.35">
      <c r="A100" t="s">
        <v>327</v>
      </c>
      <c r="B100" s="7" t="s">
        <v>18</v>
      </c>
      <c r="C100" s="9" t="s">
        <v>11</v>
      </c>
      <c r="D100" s="8" t="s">
        <v>122</v>
      </c>
      <c r="E100" s="12" t="s">
        <v>13</v>
      </c>
      <c r="F100" s="8">
        <v>1.22</v>
      </c>
    </row>
    <row r="101" spans="1:8" x14ac:dyDescent="0.35">
      <c r="A101" t="s">
        <v>327</v>
      </c>
      <c r="B101" s="7" t="s">
        <v>18</v>
      </c>
      <c r="C101" s="9" t="s">
        <v>11</v>
      </c>
      <c r="D101" s="8" t="s">
        <v>123</v>
      </c>
      <c r="E101" s="12" t="s">
        <v>13</v>
      </c>
      <c r="F101" s="8">
        <v>0.81</v>
      </c>
    </row>
    <row r="102" spans="1:8" x14ac:dyDescent="0.35">
      <c r="A102" t="s">
        <v>327</v>
      </c>
      <c r="B102" s="7" t="s">
        <v>18</v>
      </c>
      <c r="C102" s="9" t="s">
        <v>11</v>
      </c>
      <c r="D102" s="8" t="s">
        <v>124</v>
      </c>
      <c r="E102" s="12" t="s">
        <v>13</v>
      </c>
      <c r="F102" s="8">
        <v>0.98</v>
      </c>
    </row>
    <row r="103" spans="1:8" x14ac:dyDescent="0.35">
      <c r="A103" t="s">
        <v>327</v>
      </c>
      <c r="B103" s="7" t="s">
        <v>18</v>
      </c>
      <c r="C103" s="9" t="s">
        <v>11</v>
      </c>
      <c r="D103" s="8" t="s">
        <v>125</v>
      </c>
      <c r="E103" s="12" t="s">
        <v>13</v>
      </c>
      <c r="F103" s="8">
        <v>2.33</v>
      </c>
    </row>
    <row r="104" spans="1:8" x14ac:dyDescent="0.35">
      <c r="A104" t="s">
        <v>327</v>
      </c>
      <c r="B104" s="7" t="s">
        <v>10</v>
      </c>
      <c r="C104" s="9" t="s">
        <v>11</v>
      </c>
      <c r="D104" s="8" t="s">
        <v>126</v>
      </c>
      <c r="E104" s="12" t="s">
        <v>17</v>
      </c>
      <c r="F104" s="8"/>
      <c r="G104" s="14" t="s">
        <v>27</v>
      </c>
      <c r="H104" t="s">
        <v>189</v>
      </c>
    </row>
    <row r="105" spans="1:8" x14ac:dyDescent="0.35">
      <c r="A105" t="s">
        <v>327</v>
      </c>
      <c r="B105" s="7" t="s">
        <v>18</v>
      </c>
      <c r="C105" s="9" t="s">
        <v>11</v>
      </c>
      <c r="D105" s="8" t="s">
        <v>127</v>
      </c>
      <c r="E105" s="12" t="s">
        <v>13</v>
      </c>
      <c r="F105" s="8">
        <v>1.23</v>
      </c>
    </row>
    <row r="106" spans="1:8" x14ac:dyDescent="0.35">
      <c r="A106" t="s">
        <v>327</v>
      </c>
      <c r="B106" s="7" t="s">
        <v>18</v>
      </c>
      <c r="C106" s="9" t="s">
        <v>11</v>
      </c>
      <c r="D106" s="8" t="s">
        <v>128</v>
      </c>
      <c r="E106" s="12" t="s">
        <v>13</v>
      </c>
      <c r="F106" s="8">
        <v>4.91</v>
      </c>
    </row>
    <row r="107" spans="1:8" x14ac:dyDescent="0.35">
      <c r="A107" t="s">
        <v>327</v>
      </c>
      <c r="B107" s="7" t="s">
        <v>18</v>
      </c>
      <c r="C107" s="9" t="s">
        <v>11</v>
      </c>
      <c r="D107" s="8" t="s">
        <v>129</v>
      </c>
      <c r="E107" s="12" t="s">
        <v>17</v>
      </c>
      <c r="F107" s="8"/>
      <c r="G107" s="14" t="s">
        <v>130</v>
      </c>
      <c r="H107" t="s">
        <v>191</v>
      </c>
    </row>
    <row r="108" spans="1:8" x14ac:dyDescent="0.35">
      <c r="A108" t="s">
        <v>327</v>
      </c>
      <c r="B108" s="7" t="s">
        <v>18</v>
      </c>
      <c r="C108" s="9" t="s">
        <v>11</v>
      </c>
      <c r="D108" s="8" t="s">
        <v>131</v>
      </c>
      <c r="E108" s="12" t="s">
        <v>13</v>
      </c>
      <c r="F108" s="8">
        <v>0.02</v>
      </c>
    </row>
    <row r="109" spans="1:8" x14ac:dyDescent="0.35">
      <c r="A109" t="s">
        <v>327</v>
      </c>
      <c r="B109" s="7" t="s">
        <v>10</v>
      </c>
      <c r="C109" s="9" t="s">
        <v>11</v>
      </c>
      <c r="D109" s="8" t="s">
        <v>131</v>
      </c>
      <c r="E109" s="12" t="s">
        <v>13</v>
      </c>
      <c r="F109" s="8">
        <v>0.77</v>
      </c>
    </row>
    <row r="110" spans="1:8" x14ac:dyDescent="0.35">
      <c r="A110" t="s">
        <v>132</v>
      </c>
      <c r="B110" t="s">
        <v>10</v>
      </c>
      <c r="C110" s="9" t="s">
        <v>11</v>
      </c>
      <c r="D110" s="8"/>
      <c r="E110" s="12" t="s">
        <v>17</v>
      </c>
      <c r="F110" s="8"/>
      <c r="G110" s="14" t="s">
        <v>352</v>
      </c>
      <c r="H110" t="s">
        <v>194</v>
      </c>
    </row>
    <row r="111" spans="1:8" x14ac:dyDescent="0.35">
      <c r="A111" t="s">
        <v>132</v>
      </c>
      <c r="B111" t="s">
        <v>10</v>
      </c>
      <c r="C111" s="9" t="s">
        <v>11</v>
      </c>
      <c r="D111" s="1" t="s">
        <v>33</v>
      </c>
      <c r="E111" s="11" t="s">
        <v>13</v>
      </c>
      <c r="F111" s="1">
        <v>3.5</v>
      </c>
      <c r="G111" s="14" t="s">
        <v>14</v>
      </c>
    </row>
    <row r="112" spans="1:8" x14ac:dyDescent="0.35">
      <c r="A112" t="s">
        <v>132</v>
      </c>
      <c r="B112" t="s">
        <v>10</v>
      </c>
      <c r="C112" s="9" t="s">
        <v>11</v>
      </c>
      <c r="D112" s="1" t="s">
        <v>12</v>
      </c>
      <c r="E112" s="11" t="s">
        <v>13</v>
      </c>
      <c r="F112" s="1">
        <v>2.8</v>
      </c>
      <c r="G112" s="14" t="s">
        <v>14</v>
      </c>
    </row>
    <row r="113" spans="1:8" x14ac:dyDescent="0.35">
      <c r="A113" t="s">
        <v>132</v>
      </c>
      <c r="B113" t="s">
        <v>10</v>
      </c>
      <c r="C113" s="9" t="s">
        <v>11</v>
      </c>
      <c r="D113" s="1" t="s">
        <v>37</v>
      </c>
      <c r="E113" s="11" t="s">
        <v>13</v>
      </c>
      <c r="F113" s="1">
        <v>0.04</v>
      </c>
      <c r="G113" s="14" t="s">
        <v>133</v>
      </c>
    </row>
    <row r="114" spans="1:8" x14ac:dyDescent="0.35">
      <c r="A114" t="s">
        <v>132</v>
      </c>
      <c r="B114" t="s">
        <v>10</v>
      </c>
      <c r="C114" s="9" t="s">
        <v>11</v>
      </c>
      <c r="D114" s="1" t="s">
        <v>34</v>
      </c>
      <c r="E114" s="11" t="s">
        <v>13</v>
      </c>
      <c r="F114" s="1">
        <v>7.68</v>
      </c>
      <c r="G114" s="14" t="s">
        <v>134</v>
      </c>
    </row>
    <row r="115" spans="1:8" x14ac:dyDescent="0.35">
      <c r="A115" t="s">
        <v>132</v>
      </c>
      <c r="B115" t="s">
        <v>18</v>
      </c>
      <c r="C115" s="9" t="s">
        <v>11</v>
      </c>
      <c r="D115" s="1" t="s">
        <v>135</v>
      </c>
      <c r="E115" s="11" t="s">
        <v>13</v>
      </c>
      <c r="F115" s="1">
        <v>3.92</v>
      </c>
      <c r="G115" s="14" t="s">
        <v>14</v>
      </c>
    </row>
    <row r="116" spans="1:8" x14ac:dyDescent="0.35">
      <c r="A116" t="s">
        <v>132</v>
      </c>
      <c r="B116" t="s">
        <v>18</v>
      </c>
      <c r="C116" s="9" t="s">
        <v>11</v>
      </c>
      <c r="D116" s="1" t="s">
        <v>28</v>
      </c>
      <c r="E116" s="11" t="s">
        <v>13</v>
      </c>
      <c r="F116" s="1">
        <v>2.66</v>
      </c>
      <c r="G116" s="14" t="s">
        <v>14</v>
      </c>
    </row>
    <row r="117" spans="1:8" x14ac:dyDescent="0.35">
      <c r="A117" t="s">
        <v>132</v>
      </c>
      <c r="B117" t="s">
        <v>18</v>
      </c>
      <c r="C117" s="9" t="s">
        <v>11</v>
      </c>
      <c r="D117" s="1" t="s">
        <v>96</v>
      </c>
      <c r="E117" s="11" t="s">
        <v>13</v>
      </c>
      <c r="F117" s="1">
        <v>9.73</v>
      </c>
      <c r="G117" s="14" t="s">
        <v>14</v>
      </c>
    </row>
    <row r="118" spans="1:8" x14ac:dyDescent="0.35">
      <c r="A118" t="s">
        <v>132</v>
      </c>
      <c r="B118" t="s">
        <v>18</v>
      </c>
      <c r="C118" s="9" t="s">
        <v>11</v>
      </c>
      <c r="D118" s="1" t="s">
        <v>29</v>
      </c>
      <c r="E118" s="11" t="s">
        <v>13</v>
      </c>
      <c r="F118" s="1">
        <v>4.1100000000000003</v>
      </c>
      <c r="G118" s="14" t="s">
        <v>136</v>
      </c>
    </row>
    <row r="119" spans="1:8" x14ac:dyDescent="0.35">
      <c r="A119" t="s">
        <v>132</v>
      </c>
      <c r="B119" t="s">
        <v>18</v>
      </c>
      <c r="C119" s="9" t="s">
        <v>11</v>
      </c>
      <c r="D119" s="1" t="s">
        <v>15</v>
      </c>
      <c r="E119" s="11" t="s">
        <v>13</v>
      </c>
      <c r="F119" s="1">
        <v>11.13</v>
      </c>
      <c r="G119" s="14" t="s">
        <v>137</v>
      </c>
    </row>
    <row r="120" spans="1:8" x14ac:dyDescent="0.35">
      <c r="A120" t="s">
        <v>132</v>
      </c>
      <c r="B120" t="s">
        <v>18</v>
      </c>
      <c r="C120" s="9" t="s">
        <v>11</v>
      </c>
      <c r="D120" s="1" t="s">
        <v>40</v>
      </c>
      <c r="E120" s="11" t="s">
        <v>17</v>
      </c>
      <c r="F120" s="1" t="s">
        <v>14</v>
      </c>
      <c r="G120" s="14" t="s">
        <v>138</v>
      </c>
      <c r="H120" t="s">
        <v>189</v>
      </c>
    </row>
    <row r="121" spans="1:8" x14ac:dyDescent="0.35">
      <c r="A121" t="s">
        <v>139</v>
      </c>
      <c r="B121" t="s">
        <v>10</v>
      </c>
      <c r="C121" s="9" t="s">
        <v>11</v>
      </c>
      <c r="D121" s="1" t="s">
        <v>36</v>
      </c>
      <c r="E121" s="11" t="s">
        <v>17</v>
      </c>
      <c r="F121" s="1" t="s">
        <v>14</v>
      </c>
      <c r="G121" s="14" t="s">
        <v>140</v>
      </c>
      <c r="H121" t="s">
        <v>189</v>
      </c>
    </row>
    <row r="122" spans="1:8" x14ac:dyDescent="0.35">
      <c r="A122" t="s">
        <v>139</v>
      </c>
      <c r="B122" t="s">
        <v>10</v>
      </c>
      <c r="C122" s="9" t="s">
        <v>11</v>
      </c>
      <c r="D122" s="1" t="s">
        <v>33</v>
      </c>
      <c r="E122" s="11" t="s">
        <v>13</v>
      </c>
      <c r="F122" s="1">
        <v>10.79</v>
      </c>
      <c r="G122" s="14" t="s">
        <v>14</v>
      </c>
    </row>
    <row r="123" spans="1:8" x14ac:dyDescent="0.35">
      <c r="A123" t="s">
        <v>139</v>
      </c>
      <c r="B123" t="s">
        <v>10</v>
      </c>
      <c r="C123" s="9" t="s">
        <v>11</v>
      </c>
      <c r="D123" s="1" t="s">
        <v>114</v>
      </c>
      <c r="E123" s="11" t="s">
        <v>17</v>
      </c>
      <c r="F123" s="1" t="s">
        <v>14</v>
      </c>
      <c r="G123" s="14" t="s">
        <v>141</v>
      </c>
      <c r="H123" t="s">
        <v>190</v>
      </c>
    </row>
    <row r="124" spans="1:8" x14ac:dyDescent="0.35">
      <c r="A124" t="s">
        <v>139</v>
      </c>
      <c r="B124" t="s">
        <v>10</v>
      </c>
      <c r="C124" s="9" t="s">
        <v>11</v>
      </c>
      <c r="D124" s="1" t="s">
        <v>12</v>
      </c>
      <c r="E124" s="11" t="s">
        <v>13</v>
      </c>
      <c r="F124" s="1">
        <v>2.85</v>
      </c>
      <c r="G124" s="14" t="s">
        <v>14</v>
      </c>
    </row>
    <row r="125" spans="1:8" x14ac:dyDescent="0.35">
      <c r="A125" t="s">
        <v>139</v>
      </c>
      <c r="B125" t="s">
        <v>10</v>
      </c>
      <c r="C125" s="9" t="s">
        <v>11</v>
      </c>
      <c r="D125" s="1" t="s">
        <v>116</v>
      </c>
      <c r="E125" s="11" t="s">
        <v>13</v>
      </c>
      <c r="F125" s="1">
        <v>5.98</v>
      </c>
      <c r="G125" s="14" t="s">
        <v>14</v>
      </c>
    </row>
    <row r="126" spans="1:8" x14ac:dyDescent="0.35">
      <c r="A126" t="s">
        <v>139</v>
      </c>
      <c r="B126" t="s">
        <v>10</v>
      </c>
      <c r="C126" s="9" t="s">
        <v>11</v>
      </c>
      <c r="D126" s="1" t="s">
        <v>15</v>
      </c>
      <c r="E126" s="11" t="s">
        <v>17</v>
      </c>
      <c r="F126" s="1" t="s">
        <v>14</v>
      </c>
      <c r="G126" s="14" t="s">
        <v>141</v>
      </c>
      <c r="H126" t="s">
        <v>190</v>
      </c>
    </row>
    <row r="127" spans="1:8" x14ac:dyDescent="0.35">
      <c r="A127" t="s">
        <v>139</v>
      </c>
      <c r="B127" t="s">
        <v>10</v>
      </c>
      <c r="C127" s="9" t="s">
        <v>11</v>
      </c>
      <c r="D127" s="1" t="s">
        <v>34</v>
      </c>
      <c r="E127" s="11" t="s">
        <v>17</v>
      </c>
      <c r="F127" s="1" t="s">
        <v>14</v>
      </c>
      <c r="G127" s="14" t="s">
        <v>141</v>
      </c>
      <c r="H127" t="s">
        <v>190</v>
      </c>
    </row>
    <row r="128" spans="1:8" x14ac:dyDescent="0.35">
      <c r="A128" t="s">
        <v>139</v>
      </c>
      <c r="B128" t="s">
        <v>10</v>
      </c>
      <c r="C128" s="9" t="s">
        <v>11</v>
      </c>
      <c r="D128" s="1" t="s">
        <v>114</v>
      </c>
      <c r="E128" s="11" t="s">
        <v>17</v>
      </c>
      <c r="F128" s="1" t="s">
        <v>14</v>
      </c>
      <c r="G128" s="14" t="s">
        <v>142</v>
      </c>
      <c r="H128" t="s">
        <v>194</v>
      </c>
    </row>
    <row r="129" spans="1:8" x14ac:dyDescent="0.35">
      <c r="A129" t="s">
        <v>139</v>
      </c>
      <c r="B129" t="s">
        <v>18</v>
      </c>
      <c r="C129" s="9" t="s">
        <v>11</v>
      </c>
      <c r="D129" s="1" t="s">
        <v>122</v>
      </c>
      <c r="E129" s="11" t="s">
        <v>13</v>
      </c>
      <c r="F129" s="1">
        <v>3.96</v>
      </c>
      <c r="G129" s="14" t="s">
        <v>14</v>
      </c>
    </row>
    <row r="130" spans="1:8" x14ac:dyDescent="0.35">
      <c r="A130" t="s">
        <v>139</v>
      </c>
      <c r="B130" t="s">
        <v>18</v>
      </c>
      <c r="C130" s="9" t="s">
        <v>11</v>
      </c>
      <c r="D130" s="1" t="s">
        <v>28</v>
      </c>
      <c r="E130" s="11" t="s">
        <v>13</v>
      </c>
      <c r="F130" s="1">
        <v>2.42</v>
      </c>
      <c r="G130" s="14" t="s">
        <v>14</v>
      </c>
    </row>
    <row r="131" spans="1:8" x14ac:dyDescent="0.35">
      <c r="A131" t="s">
        <v>139</v>
      </c>
      <c r="B131" t="s">
        <v>18</v>
      </c>
      <c r="C131" s="9" t="s">
        <v>11</v>
      </c>
      <c r="D131" s="1" t="s">
        <v>96</v>
      </c>
      <c r="E131" s="11" t="s">
        <v>13</v>
      </c>
      <c r="F131" s="1">
        <v>7</v>
      </c>
    </row>
    <row r="132" spans="1:8" x14ac:dyDescent="0.35">
      <c r="A132" t="s">
        <v>139</v>
      </c>
      <c r="B132" t="s">
        <v>18</v>
      </c>
      <c r="C132" s="9" t="s">
        <v>11</v>
      </c>
      <c r="D132" s="1" t="s">
        <v>103</v>
      </c>
      <c r="E132" s="11" t="s">
        <v>13</v>
      </c>
      <c r="F132" s="1">
        <v>11.7</v>
      </c>
      <c r="G132" s="14" t="s">
        <v>14</v>
      </c>
    </row>
    <row r="133" spans="1:8" x14ac:dyDescent="0.35">
      <c r="A133" t="s">
        <v>139</v>
      </c>
      <c r="B133" t="s">
        <v>18</v>
      </c>
      <c r="C133" s="9" t="s">
        <v>11</v>
      </c>
      <c r="D133" s="1" t="s">
        <v>29</v>
      </c>
      <c r="E133" s="11" t="s">
        <v>13</v>
      </c>
      <c r="F133" s="1">
        <v>11.52</v>
      </c>
      <c r="G133" s="14" t="s">
        <v>143</v>
      </c>
    </row>
    <row r="134" spans="1:8" x14ac:dyDescent="0.35">
      <c r="A134" t="s">
        <v>139</v>
      </c>
      <c r="B134" s="7" t="s">
        <v>18</v>
      </c>
      <c r="C134" s="9" t="s">
        <v>301</v>
      </c>
      <c r="D134" s="8" t="s">
        <v>144</v>
      </c>
      <c r="E134" s="12" t="s">
        <v>13</v>
      </c>
      <c r="F134" s="8">
        <v>4.24</v>
      </c>
    </row>
    <row r="135" spans="1:8" x14ac:dyDescent="0.35">
      <c r="A135" t="s">
        <v>139</v>
      </c>
      <c r="B135" s="7" t="s">
        <v>18</v>
      </c>
      <c r="C135" s="9" t="s">
        <v>301</v>
      </c>
      <c r="D135" s="8" t="s">
        <v>128</v>
      </c>
      <c r="E135" s="12" t="s">
        <v>13</v>
      </c>
      <c r="F135" s="8">
        <v>3.47</v>
      </c>
    </row>
    <row r="136" spans="1:8" x14ac:dyDescent="0.35">
      <c r="A136" t="s">
        <v>139</v>
      </c>
      <c r="B136" s="7" t="s">
        <v>10</v>
      </c>
      <c r="C136" s="9" t="s">
        <v>301</v>
      </c>
      <c r="D136" s="8" t="s">
        <v>145</v>
      </c>
      <c r="E136" s="12" t="s">
        <v>13</v>
      </c>
      <c r="F136" s="8">
        <v>0.02</v>
      </c>
    </row>
    <row r="137" spans="1:8" x14ac:dyDescent="0.35">
      <c r="A137" t="s">
        <v>139</v>
      </c>
      <c r="B137" s="7" t="s">
        <v>10</v>
      </c>
      <c r="C137" s="9" t="s">
        <v>301</v>
      </c>
      <c r="D137" s="8" t="s">
        <v>145</v>
      </c>
      <c r="E137" s="12" t="s">
        <v>13</v>
      </c>
      <c r="F137" s="8">
        <v>1.77</v>
      </c>
    </row>
    <row r="138" spans="1:8" x14ac:dyDescent="0.35">
      <c r="A138" t="s">
        <v>139</v>
      </c>
      <c r="B138" s="7" t="s">
        <v>10</v>
      </c>
      <c r="C138" s="9" t="s">
        <v>301</v>
      </c>
      <c r="D138" s="8" t="s">
        <v>146</v>
      </c>
      <c r="E138" s="12" t="s">
        <v>13</v>
      </c>
      <c r="F138" s="8">
        <v>1.67</v>
      </c>
    </row>
    <row r="139" spans="1:8" x14ac:dyDescent="0.35">
      <c r="A139" t="s">
        <v>139</v>
      </c>
      <c r="B139" s="7" t="s">
        <v>10</v>
      </c>
      <c r="C139" s="9" t="s">
        <v>301</v>
      </c>
      <c r="D139" s="8" t="s">
        <v>147</v>
      </c>
      <c r="E139" s="12" t="s">
        <v>13</v>
      </c>
      <c r="F139" s="8">
        <v>1.19</v>
      </c>
    </row>
    <row r="140" spans="1:8" x14ac:dyDescent="0.35">
      <c r="A140" t="s">
        <v>139</v>
      </c>
      <c r="B140" s="7" t="s">
        <v>10</v>
      </c>
      <c r="C140" s="9" t="s">
        <v>301</v>
      </c>
      <c r="D140" s="8" t="s">
        <v>148</v>
      </c>
      <c r="E140" s="12" t="s">
        <v>13</v>
      </c>
      <c r="F140" s="8">
        <v>1.53</v>
      </c>
    </row>
    <row r="141" spans="1:8" x14ac:dyDescent="0.35">
      <c r="A141" t="s">
        <v>139</v>
      </c>
      <c r="B141" s="7" t="s">
        <v>10</v>
      </c>
      <c r="C141" s="9" t="s">
        <v>301</v>
      </c>
      <c r="D141" s="8" t="s">
        <v>149</v>
      </c>
      <c r="E141" s="12" t="s">
        <v>13</v>
      </c>
      <c r="F141" s="8">
        <v>5.0599999999999996</v>
      </c>
    </row>
    <row r="142" spans="1:8" x14ac:dyDescent="0.35">
      <c r="A142" t="s">
        <v>150</v>
      </c>
      <c r="B142" t="s">
        <v>10</v>
      </c>
      <c r="C142" s="9" t="s">
        <v>11</v>
      </c>
      <c r="D142" s="1" t="s">
        <v>151</v>
      </c>
      <c r="E142" s="11" t="s">
        <v>17</v>
      </c>
      <c r="F142" s="1" t="s">
        <v>14</v>
      </c>
      <c r="G142" s="14" t="s">
        <v>152</v>
      </c>
      <c r="H142" t="s">
        <v>190</v>
      </c>
    </row>
    <row r="143" spans="1:8" x14ac:dyDescent="0.35">
      <c r="A143" t="s">
        <v>150</v>
      </c>
      <c r="B143" t="s">
        <v>10</v>
      </c>
      <c r="C143" s="9" t="s">
        <v>11</v>
      </c>
      <c r="D143" s="1" t="s">
        <v>153</v>
      </c>
      <c r="E143" s="11" t="s">
        <v>17</v>
      </c>
      <c r="G143" s="14" t="s">
        <v>154</v>
      </c>
      <c r="H143" t="s">
        <v>189</v>
      </c>
    </row>
    <row r="144" spans="1:8" x14ac:dyDescent="0.35">
      <c r="A144" t="s">
        <v>150</v>
      </c>
      <c r="B144" t="s">
        <v>10</v>
      </c>
      <c r="C144" s="9" t="s">
        <v>11</v>
      </c>
      <c r="D144" s="1" t="s">
        <v>23</v>
      </c>
      <c r="E144" s="11" t="s">
        <v>13</v>
      </c>
      <c r="F144" s="1">
        <v>3.94</v>
      </c>
      <c r="G144" s="14" t="s">
        <v>14</v>
      </c>
    </row>
    <row r="145" spans="1:8" x14ac:dyDescent="0.35">
      <c r="A145" t="s">
        <v>150</v>
      </c>
      <c r="B145" t="s">
        <v>10</v>
      </c>
      <c r="C145" s="9" t="s">
        <v>11</v>
      </c>
      <c r="D145" s="1" t="s">
        <v>29</v>
      </c>
      <c r="E145" s="11" t="s">
        <v>13</v>
      </c>
      <c r="F145" s="1">
        <v>5.68</v>
      </c>
      <c r="G145" s="14" t="s">
        <v>14</v>
      </c>
    </row>
    <row r="146" spans="1:8" x14ac:dyDescent="0.35">
      <c r="A146" t="s">
        <v>150</v>
      </c>
      <c r="B146" t="s">
        <v>10</v>
      </c>
      <c r="C146" s="9" t="s">
        <v>11</v>
      </c>
      <c r="D146" s="1" t="s">
        <v>19</v>
      </c>
      <c r="E146" s="11" t="s">
        <v>13</v>
      </c>
      <c r="F146" s="1">
        <v>6.06</v>
      </c>
      <c r="G146" s="14" t="s">
        <v>14</v>
      </c>
    </row>
    <row r="147" spans="1:8" x14ac:dyDescent="0.35">
      <c r="A147" t="s">
        <v>150</v>
      </c>
      <c r="B147" t="s">
        <v>18</v>
      </c>
      <c r="C147" s="9" t="s">
        <v>11</v>
      </c>
      <c r="D147" s="1" t="s">
        <v>40</v>
      </c>
      <c r="E147" s="11" t="s">
        <v>17</v>
      </c>
      <c r="F147" s="1" t="s">
        <v>14</v>
      </c>
      <c r="G147" s="14" t="s">
        <v>141</v>
      </c>
      <c r="H147" t="s">
        <v>190</v>
      </c>
    </row>
    <row r="148" spans="1:8" x14ac:dyDescent="0.35">
      <c r="A148" t="s">
        <v>150</v>
      </c>
      <c r="B148" t="s">
        <v>18</v>
      </c>
      <c r="C148" s="9" t="s">
        <v>11</v>
      </c>
      <c r="D148" s="1" t="s">
        <v>96</v>
      </c>
      <c r="E148" s="11" t="s">
        <v>17</v>
      </c>
      <c r="F148" s="1" t="s">
        <v>14</v>
      </c>
      <c r="G148" s="14" t="s">
        <v>155</v>
      </c>
      <c r="H148" t="s">
        <v>192</v>
      </c>
    </row>
    <row r="149" spans="1:8" x14ac:dyDescent="0.35">
      <c r="A149" t="s">
        <v>150</v>
      </c>
      <c r="B149" t="s">
        <v>18</v>
      </c>
      <c r="C149" s="9" t="s">
        <v>11</v>
      </c>
      <c r="D149" s="1" t="s">
        <v>28</v>
      </c>
      <c r="E149" s="11" t="s">
        <v>17</v>
      </c>
      <c r="F149" s="1" t="s">
        <v>14</v>
      </c>
      <c r="G149" s="14" t="s">
        <v>155</v>
      </c>
      <c r="H149" t="s">
        <v>192</v>
      </c>
    </row>
    <row r="150" spans="1:8" x14ac:dyDescent="0.35">
      <c r="A150" t="s">
        <v>150</v>
      </c>
      <c r="B150" t="s">
        <v>10</v>
      </c>
      <c r="C150" s="9" t="s">
        <v>11</v>
      </c>
      <c r="D150" s="1" t="s">
        <v>156</v>
      </c>
      <c r="E150" s="11" t="s">
        <v>13</v>
      </c>
      <c r="F150" s="1">
        <v>3.03</v>
      </c>
    </row>
    <row r="151" spans="1:8" x14ac:dyDescent="0.35">
      <c r="A151" t="s">
        <v>150</v>
      </c>
      <c r="B151" t="s">
        <v>10</v>
      </c>
      <c r="C151" s="9" t="s">
        <v>11</v>
      </c>
      <c r="D151" s="1" t="s">
        <v>157</v>
      </c>
      <c r="E151" s="11" t="s">
        <v>13</v>
      </c>
      <c r="F151" s="1">
        <v>3.85</v>
      </c>
    </row>
    <row r="152" spans="1:8" x14ac:dyDescent="0.35">
      <c r="A152" t="s">
        <v>150</v>
      </c>
      <c r="B152" t="s">
        <v>10</v>
      </c>
      <c r="C152" s="9" t="s">
        <v>11</v>
      </c>
      <c r="D152" s="1" t="s">
        <v>158</v>
      </c>
      <c r="E152" s="11" t="s">
        <v>13</v>
      </c>
      <c r="F152" s="1">
        <v>2.23</v>
      </c>
      <c r="G152" s="14" t="s">
        <v>159</v>
      </c>
    </row>
    <row r="153" spans="1:8" x14ac:dyDescent="0.35">
      <c r="A153" t="s">
        <v>150</v>
      </c>
      <c r="B153" s="7" t="s">
        <v>18</v>
      </c>
      <c r="C153" s="9" t="s">
        <v>11</v>
      </c>
      <c r="D153" s="8" t="s">
        <v>160</v>
      </c>
      <c r="E153" s="12" t="s">
        <v>13</v>
      </c>
      <c r="F153" s="8">
        <v>1.1299999999999999</v>
      </c>
    </row>
    <row r="154" spans="1:8" x14ac:dyDescent="0.35">
      <c r="A154" t="s">
        <v>150</v>
      </c>
      <c r="B154" s="7" t="s">
        <v>18</v>
      </c>
      <c r="C154" s="9" t="s">
        <v>11</v>
      </c>
      <c r="D154" s="8" t="s">
        <v>128</v>
      </c>
      <c r="E154" s="12" t="s">
        <v>17</v>
      </c>
      <c r="F154" s="8"/>
      <c r="G154" s="14" t="s">
        <v>161</v>
      </c>
      <c r="H154" t="s">
        <v>189</v>
      </c>
    </row>
    <row r="155" spans="1:8" x14ac:dyDescent="0.35">
      <c r="A155" t="s">
        <v>150</v>
      </c>
      <c r="B155" s="7" t="s">
        <v>18</v>
      </c>
      <c r="C155" s="9" t="s">
        <v>11</v>
      </c>
      <c r="D155" s="8" t="s">
        <v>162</v>
      </c>
      <c r="E155" s="12" t="s">
        <v>17</v>
      </c>
      <c r="F155" s="8"/>
      <c r="G155" s="14" t="s">
        <v>163</v>
      </c>
      <c r="H155" t="s">
        <v>189</v>
      </c>
    </row>
    <row r="156" spans="1:8" x14ac:dyDescent="0.35">
      <c r="A156" t="s">
        <v>150</v>
      </c>
      <c r="B156" s="7" t="s">
        <v>18</v>
      </c>
      <c r="C156" s="9" t="s">
        <v>11</v>
      </c>
      <c r="D156" s="8" t="s">
        <v>148</v>
      </c>
      <c r="E156" s="12" t="s">
        <v>17</v>
      </c>
      <c r="F156" s="8"/>
      <c r="G156" s="14" t="s">
        <v>164</v>
      </c>
      <c r="H156" t="s">
        <v>192</v>
      </c>
    </row>
    <row r="157" spans="1:8" x14ac:dyDescent="0.35">
      <c r="A157" t="s">
        <v>150</v>
      </c>
      <c r="B157" s="7" t="s">
        <v>18</v>
      </c>
      <c r="C157" s="9" t="s">
        <v>11</v>
      </c>
      <c r="D157" s="8" t="s">
        <v>129</v>
      </c>
      <c r="E157" s="12" t="s">
        <v>17</v>
      </c>
      <c r="F157" s="8"/>
      <c r="G157" s="14" t="s">
        <v>165</v>
      </c>
      <c r="H157" t="s">
        <v>190</v>
      </c>
    </row>
    <row r="158" spans="1:8" x14ac:dyDescent="0.35">
      <c r="A158" t="s">
        <v>150</v>
      </c>
      <c r="B158" s="7" t="s">
        <v>18</v>
      </c>
      <c r="C158" s="9" t="s">
        <v>11</v>
      </c>
      <c r="D158" s="8" t="s">
        <v>144</v>
      </c>
      <c r="E158" s="12" t="s">
        <v>13</v>
      </c>
      <c r="F158" s="8">
        <v>2.2000000000000002</v>
      </c>
    </row>
    <row r="159" spans="1:8" x14ac:dyDescent="0.35">
      <c r="A159" t="s">
        <v>150</v>
      </c>
      <c r="B159" s="7" t="s">
        <v>18</v>
      </c>
      <c r="C159" s="9" t="s">
        <v>11</v>
      </c>
      <c r="D159" s="8" t="s">
        <v>166</v>
      </c>
      <c r="E159" s="12" t="s">
        <v>13</v>
      </c>
      <c r="F159" s="8">
        <v>4.67</v>
      </c>
    </row>
    <row r="160" spans="1:8" x14ac:dyDescent="0.35">
      <c r="A160" t="s">
        <v>324</v>
      </c>
      <c r="B160" s="7" t="s">
        <v>10</v>
      </c>
      <c r="C160" s="9" t="s">
        <v>252</v>
      </c>
      <c r="D160" s="8" t="s">
        <v>156</v>
      </c>
      <c r="E160" s="12" t="s">
        <v>13</v>
      </c>
      <c r="F160" s="8">
        <v>2.39</v>
      </c>
    </row>
    <row r="161" spans="1:8" ht="15.65" customHeight="1" x14ac:dyDescent="0.35">
      <c r="A161" t="s">
        <v>324</v>
      </c>
      <c r="B161" s="7" t="s">
        <v>10</v>
      </c>
      <c r="C161" s="9" t="s">
        <v>252</v>
      </c>
      <c r="D161" s="8" t="s">
        <v>167</v>
      </c>
      <c r="E161" s="12" t="s">
        <v>17</v>
      </c>
      <c r="F161" s="8"/>
      <c r="G161" s="14" t="s">
        <v>27</v>
      </c>
      <c r="H161" t="s">
        <v>189</v>
      </c>
    </row>
    <row r="162" spans="1:8" ht="15.65" customHeight="1" x14ac:dyDescent="0.35">
      <c r="A162" t="s">
        <v>324</v>
      </c>
      <c r="B162" s="7" t="s">
        <v>18</v>
      </c>
      <c r="C162" s="9" t="s">
        <v>252</v>
      </c>
      <c r="D162" s="8" t="s">
        <v>124</v>
      </c>
      <c r="E162" s="12" t="s">
        <v>17</v>
      </c>
      <c r="F162" s="8"/>
      <c r="G162" s="14" t="s">
        <v>100</v>
      </c>
      <c r="H162" t="s">
        <v>189</v>
      </c>
    </row>
    <row r="163" spans="1:8" x14ac:dyDescent="0.35">
      <c r="A163" t="s">
        <v>324</v>
      </c>
      <c r="B163" s="7" t="s">
        <v>18</v>
      </c>
      <c r="C163" s="9" t="s">
        <v>249</v>
      </c>
      <c r="D163" s="8" t="s">
        <v>168</v>
      </c>
      <c r="E163" s="12" t="s">
        <v>13</v>
      </c>
      <c r="F163" s="8">
        <v>1.52</v>
      </c>
    </row>
    <row r="164" spans="1:8" x14ac:dyDescent="0.35">
      <c r="A164" t="s">
        <v>324</v>
      </c>
      <c r="B164" s="7" t="s">
        <v>18</v>
      </c>
      <c r="C164" s="9" t="s">
        <v>249</v>
      </c>
      <c r="D164" s="8" t="s">
        <v>169</v>
      </c>
      <c r="E164" s="12" t="s">
        <v>13</v>
      </c>
      <c r="F164" s="8">
        <v>4.83</v>
      </c>
    </row>
    <row r="165" spans="1:8" x14ac:dyDescent="0.35">
      <c r="A165" t="s">
        <v>324</v>
      </c>
      <c r="B165" s="7" t="s">
        <v>18</v>
      </c>
      <c r="C165" s="9" t="s">
        <v>249</v>
      </c>
      <c r="D165" s="8" t="s">
        <v>170</v>
      </c>
      <c r="E165" s="12" t="s">
        <v>17</v>
      </c>
      <c r="F165" s="8"/>
      <c r="G165" s="14" t="s">
        <v>171</v>
      </c>
      <c r="H165" t="s">
        <v>191</v>
      </c>
    </row>
    <row r="166" spans="1:8" x14ac:dyDescent="0.35">
      <c r="A166" t="s">
        <v>324</v>
      </c>
      <c r="B166" s="7" t="s">
        <v>18</v>
      </c>
      <c r="C166" s="9" t="s">
        <v>249</v>
      </c>
      <c r="D166" s="8" t="s">
        <v>123</v>
      </c>
      <c r="E166" s="12" t="s">
        <v>17</v>
      </c>
      <c r="F166" s="8"/>
      <c r="G166" s="14" t="s">
        <v>172</v>
      </c>
      <c r="H166" t="s">
        <v>193</v>
      </c>
    </row>
    <row r="167" spans="1:8" x14ac:dyDescent="0.35">
      <c r="A167" t="s">
        <v>324</v>
      </c>
      <c r="B167" s="7" t="s">
        <v>10</v>
      </c>
      <c r="C167" s="9" t="s">
        <v>249</v>
      </c>
      <c r="D167" s="8" t="s">
        <v>173</v>
      </c>
      <c r="E167" s="12" t="s">
        <v>17</v>
      </c>
      <c r="F167" s="8"/>
      <c r="G167" s="14" t="s">
        <v>174</v>
      </c>
      <c r="H167" t="s">
        <v>189</v>
      </c>
    </row>
    <row r="168" spans="1:8" x14ac:dyDescent="0.35">
      <c r="A168" t="s">
        <v>324</v>
      </c>
      <c r="B168" s="7" t="s">
        <v>10</v>
      </c>
      <c r="C168" s="9" t="s">
        <v>249</v>
      </c>
      <c r="D168" s="8" t="s">
        <v>175</v>
      </c>
      <c r="E168" s="12" t="s">
        <v>13</v>
      </c>
      <c r="F168" s="8">
        <v>1.41</v>
      </c>
      <c r="G168" s="14" t="s">
        <v>176</v>
      </c>
    </row>
    <row r="169" spans="1:8" x14ac:dyDescent="0.35">
      <c r="A169" t="s">
        <v>324</v>
      </c>
      <c r="B169" s="7" t="s">
        <v>10</v>
      </c>
      <c r="C169" s="9" t="s">
        <v>249</v>
      </c>
      <c r="D169" s="8" t="s">
        <v>177</v>
      </c>
      <c r="E169" s="12" t="s">
        <v>13</v>
      </c>
      <c r="F169" s="8">
        <v>3.85</v>
      </c>
    </row>
    <row r="170" spans="1:8" x14ac:dyDescent="0.35">
      <c r="A170" t="s">
        <v>324</v>
      </c>
      <c r="B170" s="7" t="s">
        <v>18</v>
      </c>
      <c r="C170" s="9" t="s">
        <v>249</v>
      </c>
      <c r="D170" s="8" t="s">
        <v>178</v>
      </c>
      <c r="E170" s="12" t="s">
        <v>17</v>
      </c>
      <c r="F170" s="8"/>
      <c r="G170" s="14" t="s">
        <v>179</v>
      </c>
      <c r="H170" t="s">
        <v>190</v>
      </c>
    </row>
    <row r="171" spans="1:8" x14ac:dyDescent="0.35">
      <c r="A171" t="s">
        <v>325</v>
      </c>
      <c r="B171" s="7" t="s">
        <v>18</v>
      </c>
      <c r="C171" s="9" t="s">
        <v>249</v>
      </c>
      <c r="D171" s="8" t="s">
        <v>178</v>
      </c>
      <c r="E171" s="12" t="s">
        <v>13</v>
      </c>
      <c r="F171" s="8">
        <v>3.59</v>
      </c>
    </row>
    <row r="172" spans="1:8" x14ac:dyDescent="0.35">
      <c r="A172" t="s">
        <v>325</v>
      </c>
      <c r="B172" s="7" t="s">
        <v>18</v>
      </c>
      <c r="C172" s="9" t="s">
        <v>249</v>
      </c>
      <c r="D172" s="8" t="s">
        <v>178</v>
      </c>
      <c r="E172" s="12" t="s">
        <v>17</v>
      </c>
      <c r="F172" s="8"/>
      <c r="G172" s="14" t="s">
        <v>130</v>
      </c>
      <c r="H172" t="s">
        <v>191</v>
      </c>
    </row>
    <row r="173" spans="1:8" x14ac:dyDescent="0.35">
      <c r="A173" t="s">
        <v>325</v>
      </c>
      <c r="B173" s="7" t="s">
        <v>18</v>
      </c>
      <c r="C173" s="9" t="s">
        <v>249</v>
      </c>
      <c r="D173" s="8" t="s">
        <v>170</v>
      </c>
      <c r="E173" s="12" t="s">
        <v>17</v>
      </c>
      <c r="F173" s="8"/>
      <c r="G173" s="14" t="s">
        <v>180</v>
      </c>
      <c r="H173" t="s">
        <v>191</v>
      </c>
    </row>
    <row r="174" spans="1:8" x14ac:dyDescent="0.35">
      <c r="A174" t="s">
        <v>325</v>
      </c>
      <c r="B174" s="7" t="s">
        <v>18</v>
      </c>
      <c r="C174" s="9" t="s">
        <v>249</v>
      </c>
      <c r="D174" s="8" t="s">
        <v>125</v>
      </c>
      <c r="E174" s="12" t="s">
        <v>13</v>
      </c>
      <c r="F174" s="8">
        <v>1.0900000000000001</v>
      </c>
    </row>
    <row r="175" spans="1:8" x14ac:dyDescent="0.35">
      <c r="A175" t="s">
        <v>325</v>
      </c>
      <c r="B175" s="7" t="s">
        <v>18</v>
      </c>
      <c r="C175" s="9" t="s">
        <v>249</v>
      </c>
      <c r="D175" s="8" t="s">
        <v>124</v>
      </c>
      <c r="E175" s="12" t="s">
        <v>13</v>
      </c>
      <c r="F175" s="8">
        <v>1.45</v>
      </c>
    </row>
    <row r="176" spans="1:8" x14ac:dyDescent="0.35">
      <c r="A176" t="s">
        <v>325</v>
      </c>
      <c r="B176" s="7" t="s">
        <v>18</v>
      </c>
      <c r="C176" s="9" t="s">
        <v>249</v>
      </c>
      <c r="D176" s="8" t="s">
        <v>168</v>
      </c>
      <c r="E176" s="12" t="s">
        <v>13</v>
      </c>
      <c r="F176" s="8">
        <v>3.31</v>
      </c>
    </row>
    <row r="177" spans="1:8" ht="15.75" customHeight="1" x14ac:dyDescent="0.35">
      <c r="A177" t="s">
        <v>325</v>
      </c>
      <c r="B177" s="7" t="s">
        <v>10</v>
      </c>
      <c r="C177" s="9" t="s">
        <v>249</v>
      </c>
      <c r="D177" s="8" t="s">
        <v>177</v>
      </c>
      <c r="E177" s="12" t="s">
        <v>13</v>
      </c>
      <c r="F177" s="8">
        <v>11.63</v>
      </c>
      <c r="G177" s="14" t="s">
        <v>181</v>
      </c>
    </row>
    <row r="178" spans="1:8" x14ac:dyDescent="0.35">
      <c r="A178" t="s">
        <v>325</v>
      </c>
      <c r="B178" s="7" t="s">
        <v>10</v>
      </c>
      <c r="C178" s="9" t="s">
        <v>249</v>
      </c>
      <c r="D178" s="8" t="s">
        <v>173</v>
      </c>
      <c r="E178" s="12" t="s">
        <v>13</v>
      </c>
      <c r="F178" s="8">
        <v>4.49</v>
      </c>
    </row>
    <row r="179" spans="1:8" x14ac:dyDescent="0.35">
      <c r="A179" t="s">
        <v>325</v>
      </c>
      <c r="B179" s="7" t="s">
        <v>10</v>
      </c>
      <c r="C179" s="9" t="s">
        <v>249</v>
      </c>
      <c r="D179" s="8" t="s">
        <v>175</v>
      </c>
      <c r="E179" s="12" t="s">
        <v>13</v>
      </c>
      <c r="F179" s="8">
        <v>1.75</v>
      </c>
    </row>
    <row r="180" spans="1:8" x14ac:dyDescent="0.35">
      <c r="A180" t="s">
        <v>326</v>
      </c>
      <c r="B180" s="7" t="s">
        <v>10</v>
      </c>
      <c r="C180" s="9" t="s">
        <v>250</v>
      </c>
      <c r="D180" s="8" t="s">
        <v>177</v>
      </c>
      <c r="E180" s="12" t="s">
        <v>17</v>
      </c>
      <c r="F180" s="8"/>
      <c r="G180" s="14" t="s">
        <v>182</v>
      </c>
      <c r="H180" t="s">
        <v>191</v>
      </c>
    </row>
    <row r="181" spans="1:8" x14ac:dyDescent="0.35">
      <c r="A181" t="s">
        <v>326</v>
      </c>
      <c r="B181" s="7" t="s">
        <v>10</v>
      </c>
      <c r="C181" s="9" t="s">
        <v>250</v>
      </c>
      <c r="D181" s="8" t="s">
        <v>183</v>
      </c>
      <c r="E181" s="12" t="s">
        <v>13</v>
      </c>
      <c r="F181" s="8">
        <v>2.02</v>
      </c>
    </row>
    <row r="182" spans="1:8" x14ac:dyDescent="0.35">
      <c r="A182" t="s">
        <v>326</v>
      </c>
      <c r="B182" s="7" t="s">
        <v>10</v>
      </c>
      <c r="C182" s="9" t="s">
        <v>250</v>
      </c>
      <c r="D182" s="8" t="s">
        <v>173</v>
      </c>
      <c r="E182" s="12" t="s">
        <v>17</v>
      </c>
      <c r="F182" s="8"/>
      <c r="G182" s="14" t="s">
        <v>184</v>
      </c>
      <c r="H182" t="s">
        <v>190</v>
      </c>
    </row>
    <row r="183" spans="1:8" x14ac:dyDescent="0.35">
      <c r="A183" t="s">
        <v>326</v>
      </c>
      <c r="B183" s="7" t="s">
        <v>10</v>
      </c>
      <c r="C183" s="9" t="s">
        <v>250</v>
      </c>
      <c r="D183" s="8" t="s">
        <v>175</v>
      </c>
      <c r="E183" s="12" t="s">
        <v>17</v>
      </c>
      <c r="F183" s="8"/>
      <c r="G183" s="14" t="s">
        <v>184</v>
      </c>
      <c r="H183" t="s">
        <v>190</v>
      </c>
    </row>
    <row r="184" spans="1:8" x14ac:dyDescent="0.35">
      <c r="A184" t="s">
        <v>326</v>
      </c>
      <c r="B184" s="7" t="s">
        <v>18</v>
      </c>
      <c r="C184" s="9" t="s">
        <v>250</v>
      </c>
      <c r="D184" s="8" t="s">
        <v>124</v>
      </c>
      <c r="E184" s="12" t="s">
        <v>13</v>
      </c>
      <c r="F184" s="8">
        <v>0.7</v>
      </c>
    </row>
    <row r="185" spans="1:8" x14ac:dyDescent="0.35">
      <c r="A185" t="s">
        <v>326</v>
      </c>
      <c r="B185" s="7" t="s">
        <v>18</v>
      </c>
      <c r="C185" s="9" t="s">
        <v>250</v>
      </c>
      <c r="D185" s="8" t="s">
        <v>168</v>
      </c>
      <c r="E185" s="12" t="s">
        <v>13</v>
      </c>
      <c r="F185" s="8">
        <v>1.59</v>
      </c>
    </row>
    <row r="186" spans="1:8" x14ac:dyDescent="0.35">
      <c r="A186" t="s">
        <v>326</v>
      </c>
      <c r="B186" s="7" t="s">
        <v>10</v>
      </c>
      <c r="C186" s="9" t="s">
        <v>249</v>
      </c>
      <c r="D186" s="8" t="s">
        <v>177</v>
      </c>
      <c r="E186" s="12" t="s">
        <v>17</v>
      </c>
      <c r="F186" s="8"/>
      <c r="G186" s="14" t="s">
        <v>182</v>
      </c>
      <c r="H186" t="s">
        <v>191</v>
      </c>
    </row>
    <row r="187" spans="1:8" x14ac:dyDescent="0.35">
      <c r="A187" t="s">
        <v>326</v>
      </c>
      <c r="B187" s="7" t="s">
        <v>10</v>
      </c>
      <c r="C187" s="9" t="s">
        <v>249</v>
      </c>
      <c r="D187" s="8" t="s">
        <v>183</v>
      </c>
      <c r="E187" s="12" t="s">
        <v>13</v>
      </c>
      <c r="F187" s="8">
        <v>2.02</v>
      </c>
    </row>
    <row r="188" spans="1:8" x14ac:dyDescent="0.35">
      <c r="A188" t="s">
        <v>326</v>
      </c>
      <c r="B188" s="7" t="s">
        <v>10</v>
      </c>
      <c r="C188" s="9" t="s">
        <v>249</v>
      </c>
      <c r="D188" s="8" t="s">
        <v>173</v>
      </c>
      <c r="E188" s="12" t="s">
        <v>17</v>
      </c>
      <c r="F188" s="8"/>
      <c r="G188" s="14" t="s">
        <v>184</v>
      </c>
      <c r="H188" t="s">
        <v>190</v>
      </c>
    </row>
    <row r="189" spans="1:8" x14ac:dyDescent="0.35">
      <c r="A189" t="s">
        <v>326</v>
      </c>
      <c r="B189" s="7" t="s">
        <v>10</v>
      </c>
      <c r="C189" s="9" t="s">
        <v>249</v>
      </c>
      <c r="D189" s="8" t="s">
        <v>175</v>
      </c>
      <c r="E189" s="12" t="s">
        <v>17</v>
      </c>
      <c r="F189" s="8"/>
      <c r="G189" s="14" t="s">
        <v>184</v>
      </c>
      <c r="H189" t="s">
        <v>190</v>
      </c>
    </row>
    <row r="190" spans="1:8" x14ac:dyDescent="0.35">
      <c r="A190" t="s">
        <v>326</v>
      </c>
      <c r="B190" s="7" t="s">
        <v>18</v>
      </c>
      <c r="C190" s="9" t="s">
        <v>249</v>
      </c>
      <c r="D190" s="8" t="s">
        <v>124</v>
      </c>
      <c r="E190" s="12" t="s">
        <v>13</v>
      </c>
      <c r="F190" s="8">
        <v>0.7</v>
      </c>
    </row>
    <row r="191" spans="1:8" x14ac:dyDescent="0.35">
      <c r="A191" t="s">
        <v>326</v>
      </c>
      <c r="B191" s="7" t="s">
        <v>18</v>
      </c>
      <c r="C191" s="9" t="s">
        <v>249</v>
      </c>
      <c r="D191" s="8" t="s">
        <v>168</v>
      </c>
      <c r="E191" s="12" t="s">
        <v>13</v>
      </c>
      <c r="F191" s="8">
        <v>1.59</v>
      </c>
    </row>
    <row r="192" spans="1:8" x14ac:dyDescent="0.35">
      <c r="A192" t="s">
        <v>326</v>
      </c>
      <c r="B192" s="7" t="s">
        <v>18</v>
      </c>
      <c r="C192" s="9" t="s">
        <v>249</v>
      </c>
      <c r="D192" s="8" t="s">
        <v>178</v>
      </c>
      <c r="E192" s="12" t="s">
        <v>13</v>
      </c>
      <c r="F192" s="8">
        <v>0.42</v>
      </c>
    </row>
    <row r="193" spans="1:8" x14ac:dyDescent="0.35">
      <c r="A193" t="s">
        <v>326</v>
      </c>
      <c r="B193" s="7" t="s">
        <v>18</v>
      </c>
      <c r="C193" s="9" t="s">
        <v>249</v>
      </c>
      <c r="D193" s="8" t="s">
        <v>169</v>
      </c>
      <c r="E193" s="12" t="s">
        <v>13</v>
      </c>
      <c r="F193" s="8">
        <v>3.96</v>
      </c>
    </row>
    <row r="194" spans="1:8" x14ac:dyDescent="0.35">
      <c r="A194" t="s">
        <v>326</v>
      </c>
      <c r="B194" s="7" t="s">
        <v>18</v>
      </c>
      <c r="C194" s="9" t="s">
        <v>249</v>
      </c>
      <c r="D194" s="8" t="s">
        <v>125</v>
      </c>
      <c r="E194" s="12" t="s">
        <v>17</v>
      </c>
      <c r="F194" s="8"/>
      <c r="G194" s="14" t="s">
        <v>182</v>
      </c>
      <c r="H194" t="s">
        <v>191</v>
      </c>
    </row>
    <row r="195" spans="1:8" x14ac:dyDescent="0.35">
      <c r="A195" t="s">
        <v>326</v>
      </c>
      <c r="B195" s="7" t="s">
        <v>10</v>
      </c>
      <c r="C195" s="9" t="s">
        <v>249</v>
      </c>
      <c r="D195" s="8" t="s">
        <v>177</v>
      </c>
      <c r="E195" s="12" t="s">
        <v>13</v>
      </c>
      <c r="F195" s="8">
        <v>6.71</v>
      </c>
    </row>
    <row r="196" spans="1:8" x14ac:dyDescent="0.35">
      <c r="A196" t="s">
        <v>326</v>
      </c>
      <c r="B196" s="7" t="s">
        <v>10</v>
      </c>
      <c r="C196" s="9" t="s">
        <v>249</v>
      </c>
      <c r="D196" s="8" t="s">
        <v>173</v>
      </c>
      <c r="E196" s="12" t="s">
        <v>13</v>
      </c>
      <c r="F196" s="8">
        <v>2.62</v>
      </c>
    </row>
    <row r="197" spans="1:8" x14ac:dyDescent="0.35">
      <c r="A197" t="s">
        <v>326</v>
      </c>
      <c r="B197" s="7" t="s">
        <v>10</v>
      </c>
      <c r="C197" s="9" t="s">
        <v>249</v>
      </c>
      <c r="D197" s="8" t="s">
        <v>175</v>
      </c>
      <c r="E197" s="12" t="s">
        <v>17</v>
      </c>
      <c r="F197" s="8"/>
      <c r="G197" s="14" t="s">
        <v>185</v>
      </c>
      <c r="H197" t="s">
        <v>194</v>
      </c>
    </row>
    <row r="198" spans="1:8" x14ac:dyDescent="0.35">
      <c r="A198" t="s">
        <v>195</v>
      </c>
      <c r="B198" t="s">
        <v>10</v>
      </c>
      <c r="C198" s="9" t="s">
        <v>11</v>
      </c>
      <c r="D198" s="1" t="s">
        <v>19</v>
      </c>
      <c r="E198" s="11" t="s">
        <v>17</v>
      </c>
      <c r="F198" s="1" t="s">
        <v>14</v>
      </c>
      <c r="G198" s="14" t="s">
        <v>196</v>
      </c>
      <c r="H198" t="s">
        <v>189</v>
      </c>
    </row>
    <row r="199" spans="1:8" x14ac:dyDescent="0.35">
      <c r="A199" t="s">
        <v>195</v>
      </c>
      <c r="B199" t="s">
        <v>10</v>
      </c>
      <c r="C199" s="9" t="s">
        <v>11</v>
      </c>
      <c r="D199" s="1" t="s">
        <v>33</v>
      </c>
      <c r="E199" s="11" t="s">
        <v>17</v>
      </c>
      <c r="F199" s="1" t="s">
        <v>14</v>
      </c>
      <c r="G199" s="14" t="s">
        <v>155</v>
      </c>
      <c r="H199" t="s">
        <v>192</v>
      </c>
    </row>
    <row r="200" spans="1:8" x14ac:dyDescent="0.35">
      <c r="A200" t="s">
        <v>195</v>
      </c>
      <c r="B200" t="s">
        <v>10</v>
      </c>
      <c r="C200" s="9" t="s">
        <v>11</v>
      </c>
      <c r="D200" s="1" t="s">
        <v>114</v>
      </c>
      <c r="E200" s="11" t="s">
        <v>13</v>
      </c>
      <c r="F200" s="1">
        <v>18.72</v>
      </c>
      <c r="G200" s="14" t="s">
        <v>197</v>
      </c>
    </row>
    <row r="201" spans="1:8" x14ac:dyDescent="0.35">
      <c r="A201" t="s">
        <v>195</v>
      </c>
      <c r="B201" t="s">
        <v>10</v>
      </c>
      <c r="C201" s="9" t="s">
        <v>11</v>
      </c>
      <c r="D201" s="1" t="s">
        <v>15</v>
      </c>
      <c r="E201" s="11" t="s">
        <v>13</v>
      </c>
      <c r="F201" s="1">
        <v>4.16</v>
      </c>
      <c r="G201" s="14" t="s">
        <v>14</v>
      </c>
    </row>
    <row r="202" spans="1:8" x14ac:dyDescent="0.35">
      <c r="A202" t="s">
        <v>195</v>
      </c>
      <c r="B202" t="s">
        <v>10</v>
      </c>
      <c r="C202" s="9" t="s">
        <v>11</v>
      </c>
      <c r="D202" s="1" t="s">
        <v>29</v>
      </c>
      <c r="E202" s="11" t="s">
        <v>13</v>
      </c>
      <c r="F202" s="1">
        <v>2.75</v>
      </c>
      <c r="G202" s="14" t="s">
        <v>14</v>
      </c>
    </row>
    <row r="203" spans="1:8" x14ac:dyDescent="0.35">
      <c r="A203" t="s">
        <v>195</v>
      </c>
      <c r="B203" t="s">
        <v>10</v>
      </c>
      <c r="C203" s="9" t="s">
        <v>11</v>
      </c>
      <c r="D203" s="1" t="s">
        <v>116</v>
      </c>
      <c r="E203" s="11" t="s">
        <v>17</v>
      </c>
      <c r="F203" s="1" t="s">
        <v>14</v>
      </c>
      <c r="G203" s="14" t="s">
        <v>198</v>
      </c>
      <c r="H203" t="s">
        <v>191</v>
      </c>
    </row>
    <row r="204" spans="1:8" x14ac:dyDescent="0.35">
      <c r="A204" t="s">
        <v>195</v>
      </c>
      <c r="B204" t="s">
        <v>18</v>
      </c>
      <c r="C204" s="9" t="s">
        <v>11</v>
      </c>
      <c r="D204" s="1" t="s">
        <v>29</v>
      </c>
      <c r="E204" s="11" t="s">
        <v>13</v>
      </c>
      <c r="F204" s="1">
        <v>9.27</v>
      </c>
      <c r="G204" s="14" t="s">
        <v>14</v>
      </c>
    </row>
    <row r="205" spans="1:8" x14ac:dyDescent="0.35">
      <c r="A205" t="s">
        <v>195</v>
      </c>
      <c r="B205" t="s">
        <v>18</v>
      </c>
      <c r="C205" s="9" t="s">
        <v>11</v>
      </c>
      <c r="D205" s="1" t="s">
        <v>15</v>
      </c>
      <c r="E205" s="11" t="s">
        <v>13</v>
      </c>
      <c r="F205" s="1">
        <v>17.100000000000001</v>
      </c>
      <c r="G205" s="14" t="s">
        <v>14</v>
      </c>
    </row>
    <row r="206" spans="1:8" x14ac:dyDescent="0.35">
      <c r="A206" t="s">
        <v>195</v>
      </c>
      <c r="B206" t="s">
        <v>18</v>
      </c>
      <c r="C206" s="9" t="s">
        <v>11</v>
      </c>
      <c r="D206" s="1" t="s">
        <v>103</v>
      </c>
      <c r="E206" s="11" t="s">
        <v>17</v>
      </c>
      <c r="F206" s="1" t="s">
        <v>14</v>
      </c>
      <c r="G206" s="14" t="s">
        <v>27</v>
      </c>
      <c r="H206" t="s">
        <v>189</v>
      </c>
    </row>
    <row r="207" spans="1:8" x14ac:dyDescent="0.35">
      <c r="A207" t="s">
        <v>195</v>
      </c>
      <c r="B207" t="s">
        <v>18</v>
      </c>
      <c r="C207" s="9" t="s">
        <v>11</v>
      </c>
      <c r="D207" s="1" t="s">
        <v>96</v>
      </c>
      <c r="E207" s="11" t="s">
        <v>13</v>
      </c>
      <c r="F207" s="1">
        <v>4.4800000000000004</v>
      </c>
      <c r="G207" s="14" t="s">
        <v>14</v>
      </c>
    </row>
    <row r="208" spans="1:8" x14ac:dyDescent="0.35">
      <c r="A208" t="s">
        <v>199</v>
      </c>
      <c r="B208" t="s">
        <v>10</v>
      </c>
      <c r="C208" s="9" t="s">
        <v>31</v>
      </c>
      <c r="D208" s="1" t="s">
        <v>32</v>
      </c>
      <c r="E208" s="1" t="s">
        <v>13</v>
      </c>
      <c r="F208" s="1">
        <v>14.32</v>
      </c>
      <c r="G208" s="14" t="s">
        <v>200</v>
      </c>
    </row>
    <row r="209" spans="1:8" x14ac:dyDescent="0.35">
      <c r="A209" t="s">
        <v>199</v>
      </c>
      <c r="B209" t="s">
        <v>10</v>
      </c>
      <c r="C209" s="9" t="s">
        <v>31</v>
      </c>
      <c r="D209" s="1" t="s">
        <v>114</v>
      </c>
      <c r="E209" s="1" t="s">
        <v>13</v>
      </c>
      <c r="F209" s="1">
        <v>4.29</v>
      </c>
      <c r="G209" s="14" t="s">
        <v>14</v>
      </c>
    </row>
    <row r="210" spans="1:8" x14ac:dyDescent="0.35">
      <c r="A210" t="s">
        <v>199</v>
      </c>
      <c r="B210" t="s">
        <v>10</v>
      </c>
      <c r="C210" s="9" t="s">
        <v>31</v>
      </c>
      <c r="D210" s="1" t="s">
        <v>37</v>
      </c>
      <c r="E210" s="1" t="s">
        <v>13</v>
      </c>
      <c r="F210" s="1">
        <v>8.93</v>
      </c>
      <c r="G210" s="14" t="s">
        <v>201</v>
      </c>
    </row>
    <row r="211" spans="1:8" x14ac:dyDescent="0.35">
      <c r="A211" t="s">
        <v>199</v>
      </c>
      <c r="B211" t="s">
        <v>10</v>
      </c>
      <c r="C211" s="9" t="s">
        <v>31</v>
      </c>
      <c r="D211" s="1" t="s">
        <v>202</v>
      </c>
      <c r="E211" s="1" t="s">
        <v>13</v>
      </c>
      <c r="F211" s="1">
        <v>3.34</v>
      </c>
      <c r="G211" s="14" t="s">
        <v>14</v>
      </c>
    </row>
    <row r="212" spans="1:8" x14ac:dyDescent="0.35">
      <c r="A212" t="s">
        <v>199</v>
      </c>
      <c r="B212" t="s">
        <v>10</v>
      </c>
      <c r="C212" s="9" t="s">
        <v>31</v>
      </c>
      <c r="D212" s="1" t="s">
        <v>203</v>
      </c>
      <c r="E212" s="1" t="s">
        <v>13</v>
      </c>
      <c r="F212" s="1">
        <v>6.62</v>
      </c>
      <c r="G212" s="14" t="s">
        <v>204</v>
      </c>
    </row>
    <row r="213" spans="1:8" x14ac:dyDescent="0.35">
      <c r="A213" t="s">
        <v>199</v>
      </c>
      <c r="B213" t="s">
        <v>18</v>
      </c>
      <c r="C213" s="9" t="s">
        <v>31</v>
      </c>
      <c r="D213" s="1" t="s">
        <v>40</v>
      </c>
      <c r="E213" s="1" t="s">
        <v>17</v>
      </c>
      <c r="F213" s="1" t="s">
        <v>14</v>
      </c>
      <c r="G213" s="14" t="s">
        <v>205</v>
      </c>
      <c r="H213" t="s">
        <v>194</v>
      </c>
    </row>
    <row r="214" spans="1:8" x14ac:dyDescent="0.35">
      <c r="A214" t="s">
        <v>199</v>
      </c>
      <c r="B214" t="s">
        <v>18</v>
      </c>
      <c r="C214" s="9" t="s">
        <v>31</v>
      </c>
      <c r="D214" s="1" t="s">
        <v>96</v>
      </c>
      <c r="E214" s="1" t="s">
        <v>13</v>
      </c>
      <c r="F214" s="1">
        <v>14.25</v>
      </c>
      <c r="G214" s="14" t="s">
        <v>206</v>
      </c>
    </row>
    <row r="215" spans="1:8" x14ac:dyDescent="0.35">
      <c r="A215" t="s">
        <v>199</v>
      </c>
      <c r="B215" t="s">
        <v>18</v>
      </c>
      <c r="C215" s="9" t="s">
        <v>11</v>
      </c>
      <c r="D215" s="1" t="s">
        <v>29</v>
      </c>
      <c r="E215" s="1" t="s">
        <v>17</v>
      </c>
      <c r="F215" s="1" t="s">
        <v>14</v>
      </c>
      <c r="G215" s="14" t="s">
        <v>105</v>
      </c>
      <c r="H215" t="s">
        <v>190</v>
      </c>
    </row>
    <row r="216" spans="1:8" x14ac:dyDescent="0.35">
      <c r="A216" t="s">
        <v>199</v>
      </c>
      <c r="B216" t="s">
        <v>18</v>
      </c>
      <c r="C216" s="9" t="s">
        <v>11</v>
      </c>
      <c r="D216" s="1" t="s">
        <v>15</v>
      </c>
      <c r="E216" s="1" t="s">
        <v>17</v>
      </c>
      <c r="F216" s="1" t="s">
        <v>14</v>
      </c>
      <c r="G216" s="14" t="s">
        <v>155</v>
      </c>
      <c r="H216" t="s">
        <v>192</v>
      </c>
    </row>
    <row r="217" spans="1:8" x14ac:dyDescent="0.35">
      <c r="A217" t="s">
        <v>199</v>
      </c>
      <c r="B217" t="s">
        <v>18</v>
      </c>
      <c r="C217" s="9" t="s">
        <v>11</v>
      </c>
      <c r="D217" s="1" t="s">
        <v>40</v>
      </c>
      <c r="E217" s="1" t="s">
        <v>13</v>
      </c>
      <c r="F217" s="1">
        <v>13.1</v>
      </c>
      <c r="G217" s="14" t="s">
        <v>14</v>
      </c>
    </row>
    <row r="218" spans="1:8" x14ac:dyDescent="0.35">
      <c r="A218" t="s">
        <v>199</v>
      </c>
      <c r="B218" t="s">
        <v>18</v>
      </c>
      <c r="C218" s="9" t="s">
        <v>11</v>
      </c>
      <c r="D218" s="1" t="s">
        <v>29</v>
      </c>
      <c r="E218" s="1" t="s">
        <v>13</v>
      </c>
      <c r="F218" s="1">
        <v>17.71</v>
      </c>
      <c r="G218" s="14" t="s">
        <v>207</v>
      </c>
    </row>
    <row r="219" spans="1:8" x14ac:dyDescent="0.35">
      <c r="A219" t="s">
        <v>199</v>
      </c>
      <c r="B219" t="s">
        <v>18</v>
      </c>
      <c r="C219" s="9" t="s">
        <v>11</v>
      </c>
      <c r="D219" s="1" t="s">
        <v>15</v>
      </c>
      <c r="E219" s="1" t="s">
        <v>13</v>
      </c>
      <c r="F219" s="1">
        <v>17.68</v>
      </c>
      <c r="G219" s="14" t="s">
        <v>208</v>
      </c>
    </row>
    <row r="220" spans="1:8" x14ac:dyDescent="0.35">
      <c r="A220" t="s">
        <v>199</v>
      </c>
      <c r="B220" t="s">
        <v>18</v>
      </c>
      <c r="C220" s="9" t="s">
        <v>11</v>
      </c>
      <c r="D220" s="1" t="s">
        <v>103</v>
      </c>
      <c r="E220" s="1" t="s">
        <v>17</v>
      </c>
      <c r="F220" s="1" t="s">
        <v>14</v>
      </c>
      <c r="G220" s="14" t="s">
        <v>209</v>
      </c>
      <c r="H220" t="s">
        <v>190</v>
      </c>
    </row>
    <row r="221" spans="1:8" x14ac:dyDescent="0.35">
      <c r="A221" t="s">
        <v>210</v>
      </c>
      <c r="B221" s="7" t="s">
        <v>10</v>
      </c>
      <c r="C221" s="9" t="s">
        <v>31</v>
      </c>
      <c r="E221" s="1" t="s">
        <v>13</v>
      </c>
      <c r="F221" s="1">
        <v>4.5999999999999996</v>
      </c>
    </row>
    <row r="222" spans="1:8" x14ac:dyDescent="0.35">
      <c r="A222" t="s">
        <v>210</v>
      </c>
      <c r="B222" s="7" t="s">
        <v>10</v>
      </c>
      <c r="C222" s="9" t="s">
        <v>31</v>
      </c>
      <c r="E222" s="1" t="s">
        <v>13</v>
      </c>
      <c r="F222" s="1">
        <v>4.5999999999999996</v>
      </c>
    </row>
    <row r="223" spans="1:8" x14ac:dyDescent="0.35">
      <c r="A223" t="s">
        <v>210</v>
      </c>
      <c r="B223" s="7" t="s">
        <v>10</v>
      </c>
      <c r="C223" s="9" t="s">
        <v>31</v>
      </c>
      <c r="E223" s="1" t="s">
        <v>13</v>
      </c>
      <c r="F223" s="1">
        <v>4.5999999999999996</v>
      </c>
    </row>
    <row r="224" spans="1:8" x14ac:dyDescent="0.35">
      <c r="A224" t="s">
        <v>210</v>
      </c>
      <c r="B224" s="7" t="s">
        <v>10</v>
      </c>
      <c r="C224" s="9" t="s">
        <v>31</v>
      </c>
      <c r="E224" s="1" t="s">
        <v>13</v>
      </c>
      <c r="F224" s="1">
        <v>4.5999999999999996</v>
      </c>
    </row>
    <row r="225" spans="1:8" x14ac:dyDescent="0.35">
      <c r="A225" t="s">
        <v>210</v>
      </c>
      <c r="B225" s="7" t="s">
        <v>10</v>
      </c>
      <c r="C225" s="9" t="s">
        <v>31</v>
      </c>
      <c r="E225" s="1" t="s">
        <v>13</v>
      </c>
      <c r="F225" s="1">
        <v>4.5999999999999996</v>
      </c>
    </row>
    <row r="226" spans="1:8" x14ac:dyDescent="0.35">
      <c r="A226" t="s">
        <v>210</v>
      </c>
      <c r="B226" s="7" t="s">
        <v>10</v>
      </c>
      <c r="C226" s="9" t="s">
        <v>31</v>
      </c>
      <c r="E226" s="1" t="s">
        <v>17</v>
      </c>
      <c r="G226" s="15" t="s">
        <v>351</v>
      </c>
      <c r="H226" t="s">
        <v>194</v>
      </c>
    </row>
    <row r="227" spans="1:8" x14ac:dyDescent="0.35">
      <c r="A227" t="s">
        <v>210</v>
      </c>
      <c r="B227" s="7" t="s">
        <v>18</v>
      </c>
      <c r="C227" s="9" t="s">
        <v>31</v>
      </c>
      <c r="E227" s="1" t="s">
        <v>13</v>
      </c>
      <c r="F227" s="1">
        <v>12.3</v>
      </c>
    </row>
    <row r="228" spans="1:8" x14ac:dyDescent="0.35">
      <c r="A228" t="s">
        <v>210</v>
      </c>
      <c r="B228" s="7" t="s">
        <v>18</v>
      </c>
      <c r="C228" s="9" t="s">
        <v>31</v>
      </c>
      <c r="E228" s="1" t="s">
        <v>13</v>
      </c>
      <c r="F228" s="1">
        <v>12.3</v>
      </c>
    </row>
    <row r="229" spans="1:8" x14ac:dyDescent="0.35">
      <c r="A229" t="s">
        <v>210</v>
      </c>
      <c r="B229" s="7" t="s">
        <v>18</v>
      </c>
      <c r="C229" s="9" t="s">
        <v>31</v>
      </c>
      <c r="E229" s="1" t="s">
        <v>13</v>
      </c>
      <c r="F229" s="1">
        <v>12.3</v>
      </c>
    </row>
    <row r="230" spans="1:8" x14ac:dyDescent="0.35">
      <c r="A230" t="s">
        <v>210</v>
      </c>
      <c r="B230" s="7" t="s">
        <v>18</v>
      </c>
      <c r="C230" s="9" t="s">
        <v>31</v>
      </c>
      <c r="E230" s="1" t="s">
        <v>13</v>
      </c>
      <c r="F230" s="1">
        <v>12.3</v>
      </c>
    </row>
    <row r="231" spans="1:8" x14ac:dyDescent="0.35">
      <c r="A231" t="s">
        <v>210</v>
      </c>
      <c r="B231" s="7" t="s">
        <v>18</v>
      </c>
      <c r="C231" s="9" t="s">
        <v>31</v>
      </c>
      <c r="E231" s="1" t="s">
        <v>13</v>
      </c>
      <c r="F231" s="1">
        <v>12.3</v>
      </c>
    </row>
    <row r="232" spans="1:8" x14ac:dyDescent="0.35">
      <c r="A232" t="s">
        <v>210</v>
      </c>
      <c r="B232" s="7" t="s">
        <v>18</v>
      </c>
      <c r="C232" s="9" t="s">
        <v>31</v>
      </c>
      <c r="E232" s="1" t="s">
        <v>17</v>
      </c>
      <c r="G232" s="15" t="s">
        <v>351</v>
      </c>
      <c r="H232" t="s">
        <v>194</v>
      </c>
    </row>
    <row r="233" spans="1:8" x14ac:dyDescent="0.35">
      <c r="A233" t="s">
        <v>348</v>
      </c>
      <c r="B233" s="7" t="s">
        <v>10</v>
      </c>
      <c r="C233" s="9" t="s">
        <v>31</v>
      </c>
      <c r="D233" s="8" t="s">
        <v>211</v>
      </c>
      <c r="E233" s="8" t="s">
        <v>13</v>
      </c>
      <c r="F233" s="8">
        <v>3.56</v>
      </c>
    </row>
    <row r="234" spans="1:8" x14ac:dyDescent="0.35">
      <c r="A234" t="s">
        <v>348</v>
      </c>
      <c r="B234" s="7" t="s">
        <v>10</v>
      </c>
      <c r="C234" s="9" t="s">
        <v>31</v>
      </c>
      <c r="D234" s="8" t="s">
        <v>212</v>
      </c>
      <c r="E234" s="8" t="s">
        <v>13</v>
      </c>
      <c r="F234" s="8">
        <v>0.23</v>
      </c>
    </row>
    <row r="235" spans="1:8" x14ac:dyDescent="0.35">
      <c r="A235" t="s">
        <v>348</v>
      </c>
      <c r="B235" s="7" t="s">
        <v>10</v>
      </c>
      <c r="C235" s="9" t="s">
        <v>31</v>
      </c>
      <c r="D235" s="8" t="s">
        <v>169</v>
      </c>
      <c r="E235" s="8" t="s">
        <v>13</v>
      </c>
      <c r="F235" s="8">
        <v>2.5</v>
      </c>
    </row>
    <row r="236" spans="1:8" x14ac:dyDescent="0.35">
      <c r="A236" t="s">
        <v>348</v>
      </c>
      <c r="B236" s="7" t="s">
        <v>10</v>
      </c>
      <c r="C236" s="9" t="s">
        <v>31</v>
      </c>
      <c r="D236" s="8" t="s">
        <v>178</v>
      </c>
      <c r="E236" s="8" t="s">
        <v>13</v>
      </c>
      <c r="F236" s="8">
        <v>4.76</v>
      </c>
    </row>
    <row r="237" spans="1:8" x14ac:dyDescent="0.35">
      <c r="A237" t="s">
        <v>349</v>
      </c>
      <c r="B237" s="7" t="s">
        <v>10</v>
      </c>
      <c r="C237" s="9" t="s">
        <v>251</v>
      </c>
      <c r="D237" s="8" t="s">
        <v>212</v>
      </c>
      <c r="E237" s="8" t="s">
        <v>13</v>
      </c>
      <c r="F237" s="8">
        <v>2.27</v>
      </c>
    </row>
    <row r="238" spans="1:8" x14ac:dyDescent="0.35">
      <c r="A238" t="s">
        <v>349</v>
      </c>
      <c r="B238" s="7" t="s">
        <v>10</v>
      </c>
      <c r="C238" s="9" t="s">
        <v>251</v>
      </c>
      <c r="D238" s="8" t="s">
        <v>157</v>
      </c>
      <c r="E238" s="8" t="s">
        <v>13</v>
      </c>
      <c r="F238" s="8">
        <v>1.8</v>
      </c>
    </row>
    <row r="239" spans="1:8" ht="15.75" customHeight="1" x14ac:dyDescent="0.35">
      <c r="A239" t="s">
        <v>349</v>
      </c>
      <c r="B239" s="7" t="s">
        <v>10</v>
      </c>
      <c r="C239" s="9" t="s">
        <v>251</v>
      </c>
      <c r="D239" s="8" t="s">
        <v>177</v>
      </c>
      <c r="E239" s="8" t="s">
        <v>17</v>
      </c>
      <c r="F239" s="8"/>
      <c r="G239" s="14" t="s">
        <v>213</v>
      </c>
      <c r="H239" t="s">
        <v>189</v>
      </c>
    </row>
    <row r="240" spans="1:8" ht="15.75" customHeight="1" x14ac:dyDescent="0.35">
      <c r="A240" t="s">
        <v>349</v>
      </c>
      <c r="B240" s="7" t="s">
        <v>18</v>
      </c>
      <c r="C240" s="9" t="s">
        <v>251</v>
      </c>
      <c r="D240" s="8" t="s">
        <v>169</v>
      </c>
      <c r="E240" s="8" t="s">
        <v>13</v>
      </c>
      <c r="F240" s="8">
        <v>2.57</v>
      </c>
      <c r="G240" s="14" t="s">
        <v>214</v>
      </c>
    </row>
    <row r="241" spans="1:8" x14ac:dyDescent="0.35">
      <c r="A241" t="s">
        <v>349</v>
      </c>
      <c r="B241" s="7" t="s">
        <v>18</v>
      </c>
      <c r="C241" s="9" t="s">
        <v>251</v>
      </c>
      <c r="D241" s="8" t="s">
        <v>178</v>
      </c>
      <c r="E241" s="8" t="s">
        <v>13</v>
      </c>
      <c r="F241" s="8">
        <v>2.76</v>
      </c>
    </row>
    <row r="242" spans="1:8" ht="15.75" customHeight="1" x14ac:dyDescent="0.35">
      <c r="A242" t="s">
        <v>349</v>
      </c>
      <c r="B242" s="7" t="s">
        <v>10</v>
      </c>
      <c r="C242" s="9" t="s">
        <v>251</v>
      </c>
      <c r="D242" s="8" t="s">
        <v>211</v>
      </c>
      <c r="E242" s="8" t="s">
        <v>17</v>
      </c>
      <c r="F242" s="8"/>
      <c r="G242" s="14" t="s">
        <v>215</v>
      </c>
      <c r="H242" t="s">
        <v>189</v>
      </c>
    </row>
    <row r="243" spans="1:8" x14ac:dyDescent="0.35">
      <c r="A243" t="s">
        <v>216</v>
      </c>
      <c r="B243" t="s">
        <v>10</v>
      </c>
      <c r="C243" s="9" t="s">
        <v>11</v>
      </c>
      <c r="D243" s="1" t="s">
        <v>94</v>
      </c>
      <c r="E243" s="1" t="s">
        <v>17</v>
      </c>
      <c r="F243" s="1" t="s">
        <v>14</v>
      </c>
      <c r="G243" s="14" t="s">
        <v>141</v>
      </c>
      <c r="H243" t="s">
        <v>190</v>
      </c>
    </row>
    <row r="244" spans="1:8" x14ac:dyDescent="0.35">
      <c r="A244" t="s">
        <v>216</v>
      </c>
      <c r="B244" t="s">
        <v>10</v>
      </c>
      <c r="C244" s="9" t="s">
        <v>11</v>
      </c>
      <c r="D244" s="1" t="s">
        <v>36</v>
      </c>
      <c r="E244" s="1" t="s">
        <v>17</v>
      </c>
      <c r="F244" s="1" t="s">
        <v>14</v>
      </c>
      <c r="G244" s="14" t="s">
        <v>155</v>
      </c>
      <c r="H244" t="s">
        <v>192</v>
      </c>
    </row>
    <row r="245" spans="1:8" x14ac:dyDescent="0.35">
      <c r="A245" t="s">
        <v>216</v>
      </c>
      <c r="B245" t="s">
        <v>10</v>
      </c>
      <c r="C245" s="9" t="s">
        <v>11</v>
      </c>
      <c r="D245" s="1" t="s">
        <v>114</v>
      </c>
      <c r="E245" s="1" t="s">
        <v>13</v>
      </c>
      <c r="F245" s="1">
        <v>12.29</v>
      </c>
      <c r="G245" s="14" t="s">
        <v>217</v>
      </c>
    </row>
    <row r="246" spans="1:8" x14ac:dyDescent="0.35">
      <c r="A246" t="s">
        <v>216</v>
      </c>
      <c r="B246" t="s">
        <v>10</v>
      </c>
      <c r="C246" s="9" t="s">
        <v>11</v>
      </c>
      <c r="D246" s="1" t="s">
        <v>36</v>
      </c>
      <c r="E246" s="1" t="s">
        <v>13</v>
      </c>
      <c r="F246" s="1">
        <v>6.56</v>
      </c>
      <c r="G246" s="14" t="s">
        <v>14</v>
      </c>
    </row>
    <row r="247" spans="1:8" x14ac:dyDescent="0.35">
      <c r="A247" t="s">
        <v>216</v>
      </c>
      <c r="B247" t="s">
        <v>10</v>
      </c>
      <c r="C247" s="9" t="s">
        <v>11</v>
      </c>
      <c r="D247" s="1" t="s">
        <v>94</v>
      </c>
      <c r="E247" s="1" t="s">
        <v>17</v>
      </c>
      <c r="F247" s="1" t="s">
        <v>14</v>
      </c>
      <c r="G247" s="14" t="s">
        <v>141</v>
      </c>
      <c r="H247" t="s">
        <v>190</v>
      </c>
    </row>
    <row r="248" spans="1:8" x14ac:dyDescent="0.35">
      <c r="A248" t="s">
        <v>216</v>
      </c>
      <c r="B248" t="s">
        <v>18</v>
      </c>
      <c r="C248" s="9" t="s">
        <v>11</v>
      </c>
      <c r="D248" s="1" t="s">
        <v>135</v>
      </c>
      <c r="E248" s="1" t="s">
        <v>13</v>
      </c>
      <c r="F248" s="1">
        <v>5.36</v>
      </c>
      <c r="G248" s="14" t="s">
        <v>14</v>
      </c>
    </row>
    <row r="249" spans="1:8" x14ac:dyDescent="0.35">
      <c r="A249" t="s">
        <v>216</v>
      </c>
      <c r="B249" t="s">
        <v>18</v>
      </c>
      <c r="C249" s="9" t="s">
        <v>11</v>
      </c>
      <c r="D249" s="1" t="s">
        <v>15</v>
      </c>
      <c r="E249" s="1" t="s">
        <v>13</v>
      </c>
      <c r="F249" s="1">
        <v>30.74</v>
      </c>
      <c r="G249" s="14" t="s">
        <v>218</v>
      </c>
    </row>
    <row r="250" spans="1:8" x14ac:dyDescent="0.35">
      <c r="A250" t="s">
        <v>216</v>
      </c>
      <c r="B250" t="s">
        <v>18</v>
      </c>
      <c r="C250" s="9" t="s">
        <v>11</v>
      </c>
      <c r="D250" s="1" t="s">
        <v>29</v>
      </c>
      <c r="E250" s="1" t="s">
        <v>17</v>
      </c>
      <c r="F250" s="1" t="s">
        <v>14</v>
      </c>
      <c r="G250" s="14" t="s">
        <v>141</v>
      </c>
      <c r="H250" t="s">
        <v>190</v>
      </c>
    </row>
    <row r="251" spans="1:8" x14ac:dyDescent="0.35">
      <c r="A251" t="s">
        <v>219</v>
      </c>
      <c r="B251" s="7" t="s">
        <v>10</v>
      </c>
      <c r="C251" s="9" t="s">
        <v>11</v>
      </c>
      <c r="D251" s="1" t="s">
        <v>19</v>
      </c>
      <c r="E251" s="1" t="s">
        <v>17</v>
      </c>
      <c r="F251" s="1" t="s">
        <v>14</v>
      </c>
      <c r="G251" s="14" t="s">
        <v>209</v>
      </c>
      <c r="H251" t="s">
        <v>190</v>
      </c>
    </row>
    <row r="252" spans="1:8" x14ac:dyDescent="0.35">
      <c r="A252" t="s">
        <v>219</v>
      </c>
      <c r="B252" s="7" t="s">
        <v>10</v>
      </c>
      <c r="C252" s="9" t="s">
        <v>11</v>
      </c>
      <c r="D252" s="1" t="s">
        <v>94</v>
      </c>
      <c r="E252" s="1" t="s">
        <v>13</v>
      </c>
      <c r="F252" s="1">
        <v>4.03</v>
      </c>
      <c r="G252" s="14" t="s">
        <v>14</v>
      </c>
      <c r="H252" t="s">
        <v>14</v>
      </c>
    </row>
    <row r="253" spans="1:8" x14ac:dyDescent="0.35">
      <c r="A253" t="s">
        <v>219</v>
      </c>
      <c r="B253" s="7" t="s">
        <v>10</v>
      </c>
      <c r="C253" s="9" t="s">
        <v>11</v>
      </c>
      <c r="D253" s="1" t="s">
        <v>36</v>
      </c>
      <c r="E253" s="1" t="s">
        <v>13</v>
      </c>
      <c r="F253" s="1">
        <v>8.86</v>
      </c>
      <c r="G253" s="14" t="s">
        <v>14</v>
      </c>
      <c r="H253" t="s">
        <v>14</v>
      </c>
    </row>
    <row r="254" spans="1:8" x14ac:dyDescent="0.35">
      <c r="A254" t="s">
        <v>219</v>
      </c>
      <c r="B254" s="7" t="s">
        <v>10</v>
      </c>
      <c r="C254" s="9" t="s">
        <v>11</v>
      </c>
      <c r="D254" s="1" t="s">
        <v>19</v>
      </c>
      <c r="E254" s="1" t="s">
        <v>17</v>
      </c>
      <c r="F254" s="1" t="s">
        <v>14</v>
      </c>
      <c r="G254" s="14" t="s">
        <v>141</v>
      </c>
      <c r="H254" t="s">
        <v>190</v>
      </c>
    </row>
    <row r="255" spans="1:8" x14ac:dyDescent="0.35">
      <c r="A255" t="s">
        <v>219</v>
      </c>
      <c r="B255" s="7" t="s">
        <v>10</v>
      </c>
      <c r="C255" s="9" t="s">
        <v>11</v>
      </c>
      <c r="D255" s="1" t="s">
        <v>32</v>
      </c>
      <c r="E255" s="1" t="s">
        <v>17</v>
      </c>
      <c r="F255" s="1" t="s">
        <v>14</v>
      </c>
      <c r="G255" s="14" t="s">
        <v>220</v>
      </c>
      <c r="H255" t="s">
        <v>194</v>
      </c>
    </row>
    <row r="256" spans="1:8" x14ac:dyDescent="0.35">
      <c r="A256" t="s">
        <v>219</v>
      </c>
      <c r="B256" s="7" t="s">
        <v>10</v>
      </c>
      <c r="C256" s="9" t="s">
        <v>11</v>
      </c>
      <c r="D256" s="1" t="s">
        <v>24</v>
      </c>
      <c r="E256" s="1" t="s">
        <v>13</v>
      </c>
      <c r="F256" s="1">
        <v>7.54</v>
      </c>
      <c r="G256" s="14" t="s">
        <v>221</v>
      </c>
      <c r="H256" t="s">
        <v>14</v>
      </c>
    </row>
    <row r="257" spans="1:8" x14ac:dyDescent="0.35">
      <c r="A257" t="s">
        <v>219</v>
      </c>
      <c r="B257" t="s">
        <v>18</v>
      </c>
      <c r="C257" s="9" t="s">
        <v>11</v>
      </c>
      <c r="D257" s="1" t="s">
        <v>135</v>
      </c>
      <c r="E257" s="1" t="s">
        <v>13</v>
      </c>
      <c r="F257" s="1">
        <v>2.75</v>
      </c>
      <c r="G257" s="14" t="s">
        <v>14</v>
      </c>
      <c r="H257" t="s">
        <v>14</v>
      </c>
    </row>
    <row r="258" spans="1:8" x14ac:dyDescent="0.35">
      <c r="A258" t="s">
        <v>219</v>
      </c>
      <c r="B258" t="s">
        <v>18</v>
      </c>
      <c r="C258" s="9" t="s">
        <v>11</v>
      </c>
      <c r="D258" s="1" t="s">
        <v>222</v>
      </c>
      <c r="E258" s="1" t="s">
        <v>17</v>
      </c>
      <c r="F258" s="1" t="s">
        <v>14</v>
      </c>
      <c r="G258" s="14" t="s">
        <v>141</v>
      </c>
      <c r="H258" t="s">
        <v>190</v>
      </c>
    </row>
    <row r="259" spans="1:8" x14ac:dyDescent="0.35">
      <c r="A259" t="s">
        <v>219</v>
      </c>
      <c r="B259" t="s">
        <v>18</v>
      </c>
      <c r="C259" s="9" t="s">
        <v>11</v>
      </c>
      <c r="D259" s="1" t="s">
        <v>40</v>
      </c>
      <c r="E259" s="1" t="s">
        <v>13</v>
      </c>
      <c r="F259" s="1">
        <v>4.18</v>
      </c>
      <c r="H259" t="s">
        <v>14</v>
      </c>
    </row>
    <row r="260" spans="1:8" x14ac:dyDescent="0.35">
      <c r="A260" t="s">
        <v>219</v>
      </c>
      <c r="B260" t="s">
        <v>18</v>
      </c>
      <c r="C260" s="9" t="s">
        <v>11</v>
      </c>
      <c r="D260" s="1" t="s">
        <v>29</v>
      </c>
      <c r="E260" s="1" t="s">
        <v>17</v>
      </c>
      <c r="F260" s="1" t="s">
        <v>14</v>
      </c>
      <c r="G260" s="14" t="s">
        <v>141</v>
      </c>
      <c r="H260" t="s">
        <v>190</v>
      </c>
    </row>
    <row r="261" spans="1:8" x14ac:dyDescent="0.35">
      <c r="A261" t="s">
        <v>219</v>
      </c>
      <c r="B261" t="s">
        <v>18</v>
      </c>
      <c r="C261" s="9" t="s">
        <v>11</v>
      </c>
      <c r="D261" s="1" t="s">
        <v>15</v>
      </c>
      <c r="E261" s="1" t="s">
        <v>17</v>
      </c>
      <c r="F261" s="1" t="s">
        <v>14</v>
      </c>
      <c r="G261" s="14" t="s">
        <v>155</v>
      </c>
      <c r="H261" t="s">
        <v>192</v>
      </c>
    </row>
    <row r="262" spans="1:8" x14ac:dyDescent="0.35">
      <c r="A262" t="s">
        <v>219</v>
      </c>
      <c r="B262" t="s">
        <v>18</v>
      </c>
      <c r="C262" s="9" t="s">
        <v>11</v>
      </c>
      <c r="D262" s="1" t="s">
        <v>29</v>
      </c>
      <c r="E262" s="1" t="s">
        <v>13</v>
      </c>
      <c r="F262" s="1">
        <v>47.21</v>
      </c>
      <c r="G262" s="14" t="s">
        <v>14</v>
      </c>
      <c r="H262" t="s">
        <v>14</v>
      </c>
    </row>
    <row r="263" spans="1:8" x14ac:dyDescent="0.35">
      <c r="A263" t="s">
        <v>219</v>
      </c>
      <c r="B263" t="s">
        <v>18</v>
      </c>
      <c r="C263" s="9" t="s">
        <v>11</v>
      </c>
      <c r="D263" s="1" t="s">
        <v>15</v>
      </c>
      <c r="E263" s="1" t="s">
        <v>17</v>
      </c>
      <c r="F263" s="1" t="s">
        <v>14</v>
      </c>
      <c r="G263" s="14" t="s">
        <v>155</v>
      </c>
      <c r="H263" t="s">
        <v>192</v>
      </c>
    </row>
    <row r="264" spans="1:8" x14ac:dyDescent="0.35">
      <c r="A264" t="s">
        <v>219</v>
      </c>
      <c r="B264" t="s">
        <v>18</v>
      </c>
      <c r="C264" s="9" t="s">
        <v>11</v>
      </c>
      <c r="D264" s="1" t="s">
        <v>15</v>
      </c>
      <c r="E264" s="1" t="s">
        <v>13</v>
      </c>
      <c r="F264" s="1">
        <v>38.47</v>
      </c>
      <c r="G264" s="14" t="s">
        <v>14</v>
      </c>
      <c r="H264" t="s">
        <v>14</v>
      </c>
    </row>
    <row r="265" spans="1:8" x14ac:dyDescent="0.35">
      <c r="A265" t="s">
        <v>323</v>
      </c>
      <c r="B265" s="7" t="s">
        <v>10</v>
      </c>
      <c r="C265" s="9" t="s">
        <v>11</v>
      </c>
      <c r="D265" s="8" t="s">
        <v>211</v>
      </c>
      <c r="E265" s="8" t="s">
        <v>13</v>
      </c>
      <c r="F265" s="8">
        <v>3.25</v>
      </c>
    </row>
    <row r="266" spans="1:8" x14ac:dyDescent="0.35">
      <c r="A266" t="s">
        <v>323</v>
      </c>
      <c r="B266" s="7" t="s">
        <v>10</v>
      </c>
      <c r="C266" s="9" t="s">
        <v>11</v>
      </c>
      <c r="D266" s="8" t="s">
        <v>212</v>
      </c>
      <c r="E266" s="8" t="s">
        <v>17</v>
      </c>
      <c r="F266" s="8"/>
      <c r="G266" s="14" t="s">
        <v>100</v>
      </c>
      <c r="H266" t="s">
        <v>189</v>
      </c>
    </row>
    <row r="267" spans="1:8" x14ac:dyDescent="0.35">
      <c r="A267" t="s">
        <v>323</v>
      </c>
      <c r="B267" s="7" t="s">
        <v>10</v>
      </c>
      <c r="C267" s="9" t="s">
        <v>11</v>
      </c>
      <c r="D267" s="8" t="s">
        <v>223</v>
      </c>
      <c r="E267" s="8" t="s">
        <v>13</v>
      </c>
      <c r="F267" s="8">
        <v>2.11</v>
      </c>
    </row>
    <row r="268" spans="1:8" x14ac:dyDescent="0.35">
      <c r="A268" t="s">
        <v>323</v>
      </c>
      <c r="B268" s="7" t="s">
        <v>10</v>
      </c>
      <c r="C268" s="9" t="s">
        <v>11</v>
      </c>
      <c r="D268" s="8" t="s">
        <v>156</v>
      </c>
      <c r="E268" s="8" t="s">
        <v>17</v>
      </c>
      <c r="F268" s="8"/>
      <c r="G268" s="14" t="s">
        <v>224</v>
      </c>
      <c r="H268" t="s">
        <v>190</v>
      </c>
    </row>
    <row r="269" spans="1:8" x14ac:dyDescent="0.35">
      <c r="A269" t="s">
        <v>323</v>
      </c>
      <c r="B269" s="7" t="s">
        <v>18</v>
      </c>
      <c r="C269" s="9" t="s">
        <v>11</v>
      </c>
      <c r="D269" s="8" t="s">
        <v>178</v>
      </c>
      <c r="E269" s="8" t="s">
        <v>13</v>
      </c>
      <c r="F269" s="8">
        <v>2.0499999999999998</v>
      </c>
    </row>
    <row r="270" spans="1:8" x14ac:dyDescent="0.35">
      <c r="A270" t="s">
        <v>323</v>
      </c>
      <c r="B270" s="7" t="s">
        <v>18</v>
      </c>
      <c r="C270" s="9" t="s">
        <v>11</v>
      </c>
      <c r="D270" s="8" t="s">
        <v>225</v>
      </c>
      <c r="E270" s="8" t="s">
        <v>17</v>
      </c>
      <c r="F270" s="8"/>
      <c r="G270" s="14" t="s">
        <v>226</v>
      </c>
      <c r="H270" t="s">
        <v>193</v>
      </c>
    </row>
    <row r="271" spans="1:8" x14ac:dyDescent="0.35">
      <c r="A271" t="s">
        <v>323</v>
      </c>
      <c r="B271" s="7" t="s">
        <v>18</v>
      </c>
      <c r="C271" s="9" t="s">
        <v>11</v>
      </c>
      <c r="D271" s="8" t="s">
        <v>122</v>
      </c>
      <c r="E271" s="8" t="s">
        <v>17</v>
      </c>
      <c r="F271" s="8"/>
      <c r="G271" s="14" t="s">
        <v>227</v>
      </c>
      <c r="H271" t="s">
        <v>190</v>
      </c>
    </row>
    <row r="272" spans="1:8" x14ac:dyDescent="0.35">
      <c r="A272" t="s">
        <v>323</v>
      </c>
      <c r="B272" s="7" t="s">
        <v>10</v>
      </c>
      <c r="C272" s="9" t="s">
        <v>11</v>
      </c>
      <c r="D272" s="8" t="s">
        <v>228</v>
      </c>
      <c r="E272" s="8" t="s">
        <v>17</v>
      </c>
      <c r="F272" s="8"/>
      <c r="G272" s="14" t="s">
        <v>229</v>
      </c>
      <c r="H272" t="s">
        <v>194</v>
      </c>
    </row>
    <row r="273" spans="1:8" x14ac:dyDescent="0.35">
      <c r="A273" t="s">
        <v>230</v>
      </c>
      <c r="B273" t="s">
        <v>18</v>
      </c>
      <c r="C273" s="9" t="s">
        <v>11</v>
      </c>
      <c r="D273" s="1" t="s">
        <v>40</v>
      </c>
      <c r="E273" s="1" t="s">
        <v>13</v>
      </c>
      <c r="F273" s="1">
        <v>6.31</v>
      </c>
      <c r="G273" s="14" t="s">
        <v>14</v>
      </c>
    </row>
    <row r="274" spans="1:8" x14ac:dyDescent="0.35">
      <c r="A274" t="s">
        <v>230</v>
      </c>
      <c r="B274" t="s">
        <v>18</v>
      </c>
      <c r="C274" s="9" t="s">
        <v>11</v>
      </c>
      <c r="D274" s="1" t="s">
        <v>15</v>
      </c>
      <c r="E274" s="1" t="s">
        <v>17</v>
      </c>
      <c r="F274" s="1" t="s">
        <v>14</v>
      </c>
      <c r="G274" s="14" t="s">
        <v>155</v>
      </c>
      <c r="H274" t="s">
        <v>192</v>
      </c>
    </row>
    <row r="275" spans="1:8" x14ac:dyDescent="0.35">
      <c r="A275" t="s">
        <v>230</v>
      </c>
      <c r="B275" t="s">
        <v>18</v>
      </c>
      <c r="C275" s="9" t="s">
        <v>11</v>
      </c>
      <c r="D275" s="1" t="s">
        <v>29</v>
      </c>
      <c r="E275" s="1" t="s">
        <v>13</v>
      </c>
      <c r="F275" s="1">
        <v>12.1</v>
      </c>
      <c r="G275" s="14" t="s">
        <v>14</v>
      </c>
    </row>
    <row r="276" spans="1:8" x14ac:dyDescent="0.35">
      <c r="A276" t="s">
        <v>230</v>
      </c>
      <c r="B276" t="s">
        <v>18</v>
      </c>
      <c r="C276" s="9" t="s">
        <v>11</v>
      </c>
      <c r="D276" s="1" t="s">
        <v>222</v>
      </c>
      <c r="E276" s="1" t="s">
        <v>17</v>
      </c>
      <c r="F276" s="1" t="s">
        <v>14</v>
      </c>
      <c r="G276" s="14" t="s">
        <v>231</v>
      </c>
      <c r="H276" t="s">
        <v>193</v>
      </c>
    </row>
    <row r="277" spans="1:8" x14ac:dyDescent="0.35">
      <c r="A277" t="s">
        <v>230</v>
      </c>
      <c r="B277" t="s">
        <v>10</v>
      </c>
      <c r="C277" s="9" t="s">
        <v>11</v>
      </c>
      <c r="D277" s="1" t="s">
        <v>110</v>
      </c>
      <c r="E277" s="1" t="s">
        <v>13</v>
      </c>
      <c r="F277" s="1">
        <v>6.78</v>
      </c>
      <c r="G277" s="14" t="s">
        <v>14</v>
      </c>
    </row>
    <row r="278" spans="1:8" x14ac:dyDescent="0.35">
      <c r="A278" t="s">
        <v>230</v>
      </c>
      <c r="B278" t="s">
        <v>10</v>
      </c>
      <c r="C278" s="9" t="s">
        <v>11</v>
      </c>
      <c r="D278" s="1" t="s">
        <v>94</v>
      </c>
      <c r="E278" s="1" t="s">
        <v>13</v>
      </c>
      <c r="F278" s="1">
        <v>5.14</v>
      </c>
      <c r="G278" s="14" t="s">
        <v>14</v>
      </c>
    </row>
    <row r="279" spans="1:8" x14ac:dyDescent="0.35">
      <c r="A279" t="s">
        <v>230</v>
      </c>
      <c r="B279" t="s">
        <v>10</v>
      </c>
      <c r="C279" s="9" t="s">
        <v>11</v>
      </c>
      <c r="D279" s="1" t="s">
        <v>36</v>
      </c>
      <c r="E279" s="1" t="s">
        <v>17</v>
      </c>
      <c r="F279" s="1" t="s">
        <v>14</v>
      </c>
      <c r="G279" s="14" t="s">
        <v>100</v>
      </c>
      <c r="H279" t="s">
        <v>189</v>
      </c>
    </row>
    <row r="280" spans="1:8" x14ac:dyDescent="0.35">
      <c r="A280" t="s">
        <v>230</v>
      </c>
      <c r="B280" t="s">
        <v>18</v>
      </c>
      <c r="C280" s="9" t="s">
        <v>11</v>
      </c>
      <c r="D280" s="1" t="s">
        <v>15</v>
      </c>
      <c r="E280" s="1" t="s">
        <v>17</v>
      </c>
      <c r="F280" s="1" t="s">
        <v>14</v>
      </c>
      <c r="G280" s="14" t="s">
        <v>155</v>
      </c>
      <c r="H280" t="s">
        <v>192</v>
      </c>
    </row>
    <row r="281" spans="1:8" x14ac:dyDescent="0.35">
      <c r="A281" t="s">
        <v>321</v>
      </c>
      <c r="B281" s="7" t="s">
        <v>18</v>
      </c>
      <c r="C281" s="9" t="s">
        <v>31</v>
      </c>
      <c r="D281" s="8" t="s">
        <v>124</v>
      </c>
      <c r="E281" s="8" t="s">
        <v>13</v>
      </c>
      <c r="F281" s="8">
        <v>0.92</v>
      </c>
    </row>
    <row r="282" spans="1:8" x14ac:dyDescent="0.35">
      <c r="A282" t="s">
        <v>321</v>
      </c>
      <c r="B282" s="7" t="s">
        <v>10</v>
      </c>
      <c r="C282" s="9" t="s">
        <v>31</v>
      </c>
      <c r="D282" s="8" t="s">
        <v>211</v>
      </c>
      <c r="E282" s="8" t="s">
        <v>17</v>
      </c>
      <c r="F282" s="8"/>
      <c r="G282" s="14" t="s">
        <v>100</v>
      </c>
      <c r="H282" t="s">
        <v>189</v>
      </c>
    </row>
    <row r="283" spans="1:8" x14ac:dyDescent="0.35">
      <c r="A283" t="s">
        <v>321</v>
      </c>
      <c r="B283" s="7" t="s">
        <v>10</v>
      </c>
      <c r="C283" s="9" t="s">
        <v>31</v>
      </c>
      <c r="D283" s="8" t="s">
        <v>156</v>
      </c>
      <c r="E283" s="8" t="s">
        <v>13</v>
      </c>
      <c r="F283" s="8">
        <v>3.41</v>
      </c>
    </row>
    <row r="284" spans="1:8" x14ac:dyDescent="0.35">
      <c r="A284" t="s">
        <v>322</v>
      </c>
      <c r="B284" s="7" t="s">
        <v>18</v>
      </c>
      <c r="C284" s="9" t="s">
        <v>31</v>
      </c>
      <c r="D284" s="8" t="s">
        <v>144</v>
      </c>
      <c r="E284" s="8" t="s">
        <v>13</v>
      </c>
      <c r="F284" s="1">
        <v>1.55</v>
      </c>
    </row>
    <row r="285" spans="1:8" x14ac:dyDescent="0.35">
      <c r="A285" t="s">
        <v>322</v>
      </c>
      <c r="B285" s="7" t="s">
        <v>18</v>
      </c>
      <c r="C285" s="9" t="s">
        <v>31</v>
      </c>
      <c r="D285" s="8" t="s">
        <v>127</v>
      </c>
      <c r="E285" s="8" t="s">
        <v>13</v>
      </c>
      <c r="F285" s="1">
        <v>4.21</v>
      </c>
      <c r="G285" s="14" t="s">
        <v>236</v>
      </c>
    </row>
    <row r="286" spans="1:8" x14ac:dyDescent="0.35">
      <c r="A286" t="s">
        <v>322</v>
      </c>
      <c r="B286" s="7" t="s">
        <v>18</v>
      </c>
      <c r="C286" s="9" t="s">
        <v>31</v>
      </c>
      <c r="D286" s="8" t="s">
        <v>128</v>
      </c>
      <c r="E286" s="8" t="s">
        <v>13</v>
      </c>
      <c r="F286" s="1">
        <v>2.92</v>
      </c>
    </row>
    <row r="287" spans="1:8" x14ac:dyDescent="0.35">
      <c r="A287" t="s">
        <v>322</v>
      </c>
      <c r="B287" s="7" t="s">
        <v>10</v>
      </c>
      <c r="C287" s="9" t="s">
        <v>31</v>
      </c>
      <c r="D287" s="8" t="s">
        <v>232</v>
      </c>
      <c r="E287" s="8" t="s">
        <v>13</v>
      </c>
      <c r="F287" s="1">
        <v>1.56</v>
      </c>
      <c r="G287" s="14" t="s">
        <v>237</v>
      </c>
    </row>
    <row r="288" spans="1:8" x14ac:dyDescent="0.35">
      <c r="A288" t="s">
        <v>322</v>
      </c>
      <c r="B288" s="7" t="s">
        <v>10</v>
      </c>
      <c r="C288" s="9" t="s">
        <v>31</v>
      </c>
      <c r="D288" s="8" t="s">
        <v>233</v>
      </c>
      <c r="E288" s="8" t="s">
        <v>13</v>
      </c>
      <c r="F288" s="1">
        <v>0.28999999999999998</v>
      </c>
    </row>
    <row r="289" spans="1:8" x14ac:dyDescent="0.35">
      <c r="A289" t="s">
        <v>322</v>
      </c>
      <c r="B289" s="7" t="s">
        <v>10</v>
      </c>
      <c r="C289" s="9" t="s">
        <v>31</v>
      </c>
      <c r="D289" s="8" t="s">
        <v>234</v>
      </c>
      <c r="E289" s="8" t="s">
        <v>13</v>
      </c>
      <c r="F289" s="1">
        <v>2.4900000000000002</v>
      </c>
    </row>
    <row r="290" spans="1:8" x14ac:dyDescent="0.35">
      <c r="A290" t="s">
        <v>322</v>
      </c>
      <c r="B290" s="7" t="s">
        <v>10</v>
      </c>
      <c r="C290" s="9" t="s">
        <v>31</v>
      </c>
      <c r="D290" s="8" t="s">
        <v>235</v>
      </c>
      <c r="E290" s="8" t="s">
        <v>13</v>
      </c>
      <c r="F290" s="1">
        <v>1</v>
      </c>
    </row>
    <row r="291" spans="1:8" x14ac:dyDescent="0.35">
      <c r="A291" t="s">
        <v>238</v>
      </c>
      <c r="B291" t="s">
        <v>10</v>
      </c>
      <c r="C291" s="9" t="s">
        <v>249</v>
      </c>
      <c r="D291" s="1" t="s">
        <v>110</v>
      </c>
      <c r="E291" s="1" t="s">
        <v>13</v>
      </c>
      <c r="F291" s="1">
        <v>9.75</v>
      </c>
      <c r="G291" s="14" t="s">
        <v>14</v>
      </c>
    </row>
    <row r="292" spans="1:8" x14ac:dyDescent="0.35">
      <c r="A292" t="s">
        <v>238</v>
      </c>
      <c r="B292" t="s">
        <v>10</v>
      </c>
      <c r="C292" s="9" t="s">
        <v>249</v>
      </c>
      <c r="D292" s="1" t="s">
        <v>19</v>
      </c>
      <c r="E292" s="1" t="s">
        <v>13</v>
      </c>
      <c r="F292" s="1">
        <v>6.25</v>
      </c>
      <c r="G292" s="14" t="s">
        <v>14</v>
      </c>
    </row>
    <row r="293" spans="1:8" x14ac:dyDescent="0.35">
      <c r="A293" t="s">
        <v>238</v>
      </c>
      <c r="B293" t="s">
        <v>10</v>
      </c>
      <c r="C293" s="9" t="s">
        <v>249</v>
      </c>
      <c r="D293" s="1" t="s">
        <v>94</v>
      </c>
      <c r="E293" s="1" t="s">
        <v>17</v>
      </c>
      <c r="F293" s="1" t="s">
        <v>14</v>
      </c>
      <c r="G293" s="14" t="s">
        <v>209</v>
      </c>
      <c r="H293" t="s">
        <v>190</v>
      </c>
    </row>
    <row r="294" spans="1:8" x14ac:dyDescent="0.35">
      <c r="A294" t="s">
        <v>238</v>
      </c>
      <c r="B294" t="s">
        <v>10</v>
      </c>
      <c r="C294" s="9" t="s">
        <v>249</v>
      </c>
      <c r="D294" s="1" t="s">
        <v>94</v>
      </c>
      <c r="E294" s="1" t="s">
        <v>17</v>
      </c>
      <c r="F294" s="1" t="s">
        <v>14</v>
      </c>
      <c r="G294" s="14" t="s">
        <v>209</v>
      </c>
      <c r="H294" t="s">
        <v>190</v>
      </c>
    </row>
    <row r="295" spans="1:8" x14ac:dyDescent="0.35">
      <c r="A295" t="s">
        <v>238</v>
      </c>
      <c r="B295" t="s">
        <v>10</v>
      </c>
      <c r="C295" s="9" t="s">
        <v>249</v>
      </c>
      <c r="D295" s="1" t="s">
        <v>94</v>
      </c>
      <c r="E295" s="1" t="s">
        <v>13</v>
      </c>
      <c r="F295" s="1">
        <v>5.47</v>
      </c>
      <c r="G295" s="14" t="s">
        <v>239</v>
      </c>
    </row>
    <row r="296" spans="1:8" x14ac:dyDescent="0.35">
      <c r="A296" t="s">
        <v>238</v>
      </c>
      <c r="B296" t="s">
        <v>10</v>
      </c>
      <c r="C296" s="9" t="s">
        <v>249</v>
      </c>
      <c r="D296" s="1" t="s">
        <v>37</v>
      </c>
      <c r="E296" s="1" t="s">
        <v>17</v>
      </c>
      <c r="F296" s="1" t="s">
        <v>14</v>
      </c>
      <c r="G296" s="14" t="s">
        <v>100</v>
      </c>
      <c r="H296" t="s">
        <v>189</v>
      </c>
    </row>
    <row r="297" spans="1:8" x14ac:dyDescent="0.35">
      <c r="A297" t="s">
        <v>238</v>
      </c>
      <c r="B297" t="s">
        <v>10</v>
      </c>
      <c r="C297" s="9" t="s">
        <v>249</v>
      </c>
      <c r="D297" s="1" t="s">
        <v>240</v>
      </c>
      <c r="E297" s="1" t="s">
        <v>17</v>
      </c>
      <c r="F297" s="1" t="s">
        <v>14</v>
      </c>
      <c r="G297" s="14" t="s">
        <v>241</v>
      </c>
      <c r="H297" t="s">
        <v>194</v>
      </c>
    </row>
    <row r="298" spans="1:8" x14ac:dyDescent="0.35">
      <c r="A298" t="s">
        <v>238</v>
      </c>
      <c r="B298" t="s">
        <v>10</v>
      </c>
      <c r="C298" s="9" t="s">
        <v>249</v>
      </c>
      <c r="D298" s="1" t="s">
        <v>36</v>
      </c>
      <c r="E298" s="1" t="s">
        <v>13</v>
      </c>
      <c r="F298" s="1">
        <v>5.93</v>
      </c>
      <c r="G298" s="14" t="s">
        <v>14</v>
      </c>
    </row>
    <row r="299" spans="1:8" x14ac:dyDescent="0.35">
      <c r="A299" t="s">
        <v>238</v>
      </c>
      <c r="B299" t="s">
        <v>18</v>
      </c>
      <c r="C299" s="9" t="s">
        <v>249</v>
      </c>
      <c r="D299" s="1" t="s">
        <v>29</v>
      </c>
      <c r="E299" s="1" t="s">
        <v>13</v>
      </c>
      <c r="F299" s="1">
        <v>8.09</v>
      </c>
      <c r="G299" s="14" t="s">
        <v>14</v>
      </c>
    </row>
    <row r="300" spans="1:8" x14ac:dyDescent="0.35">
      <c r="A300" t="s">
        <v>238</v>
      </c>
      <c r="B300" t="s">
        <v>18</v>
      </c>
      <c r="C300" s="9" t="s">
        <v>249</v>
      </c>
      <c r="D300" s="1" t="s">
        <v>15</v>
      </c>
      <c r="E300" s="1" t="s">
        <v>13</v>
      </c>
      <c r="F300" s="1">
        <v>14.71</v>
      </c>
      <c r="G300" s="14" t="s">
        <v>14</v>
      </c>
    </row>
    <row r="301" spans="1:8" x14ac:dyDescent="0.35">
      <c r="A301" t="s">
        <v>238</v>
      </c>
      <c r="B301" t="s">
        <v>10</v>
      </c>
      <c r="C301" s="9" t="s">
        <v>249</v>
      </c>
      <c r="D301" s="1" t="s">
        <v>94</v>
      </c>
      <c r="E301" s="1" t="s">
        <v>13</v>
      </c>
      <c r="F301" s="1">
        <v>10.85</v>
      </c>
      <c r="G301" s="14" t="s">
        <v>14</v>
      </c>
    </row>
    <row r="302" spans="1:8" x14ac:dyDescent="0.35">
      <c r="A302" t="s">
        <v>242</v>
      </c>
      <c r="B302" t="s">
        <v>10</v>
      </c>
      <c r="C302" s="9" t="s">
        <v>31</v>
      </c>
      <c r="D302" s="1" t="s">
        <v>19</v>
      </c>
      <c r="E302" s="1" t="s">
        <v>13</v>
      </c>
      <c r="F302" s="1">
        <v>4.66</v>
      </c>
      <c r="G302" s="14" t="s">
        <v>14</v>
      </c>
    </row>
    <row r="303" spans="1:8" x14ac:dyDescent="0.35">
      <c r="A303" t="s">
        <v>242</v>
      </c>
      <c r="B303" t="s">
        <v>10</v>
      </c>
      <c r="C303" s="9" t="s">
        <v>31</v>
      </c>
      <c r="D303" s="1" t="s">
        <v>36</v>
      </c>
      <c r="E303" s="1" t="s">
        <v>13</v>
      </c>
      <c r="F303" s="1">
        <v>6.67</v>
      </c>
      <c r="G303" s="14" t="s">
        <v>14</v>
      </c>
    </row>
    <row r="304" spans="1:8" x14ac:dyDescent="0.35">
      <c r="A304" t="s">
        <v>242</v>
      </c>
      <c r="B304" t="s">
        <v>10</v>
      </c>
      <c r="C304" s="9" t="s">
        <v>31</v>
      </c>
      <c r="D304" s="1" t="s">
        <v>94</v>
      </c>
      <c r="E304" s="1" t="s">
        <v>13</v>
      </c>
      <c r="F304" s="1">
        <v>7.54</v>
      </c>
      <c r="G304" s="14" t="s">
        <v>243</v>
      </c>
    </row>
    <row r="305" spans="1:8" x14ac:dyDescent="0.35">
      <c r="A305" t="s">
        <v>242</v>
      </c>
      <c r="B305" t="s">
        <v>10</v>
      </c>
      <c r="C305" s="9" t="s">
        <v>31</v>
      </c>
      <c r="D305" s="1" t="s">
        <v>240</v>
      </c>
      <c r="E305" s="1" t="s">
        <v>13</v>
      </c>
      <c r="F305" s="1">
        <v>10.42</v>
      </c>
      <c r="G305" s="14" t="s">
        <v>14</v>
      </c>
    </row>
    <row r="306" spans="1:8" x14ac:dyDescent="0.35">
      <c r="A306" t="s">
        <v>242</v>
      </c>
      <c r="B306" t="s">
        <v>18</v>
      </c>
      <c r="C306" s="9" t="s">
        <v>31</v>
      </c>
      <c r="D306" s="1" t="s">
        <v>40</v>
      </c>
      <c r="E306" s="1" t="s">
        <v>17</v>
      </c>
      <c r="F306" s="1" t="s">
        <v>14</v>
      </c>
      <c r="G306" s="14" t="s">
        <v>141</v>
      </c>
      <c r="H306" t="s">
        <v>190</v>
      </c>
    </row>
    <row r="307" spans="1:8" x14ac:dyDescent="0.35">
      <c r="A307" t="s">
        <v>242</v>
      </c>
      <c r="B307" t="s">
        <v>18</v>
      </c>
      <c r="C307" s="9" t="s">
        <v>31</v>
      </c>
      <c r="D307" s="1" t="s">
        <v>29</v>
      </c>
      <c r="E307" s="1" t="s">
        <v>17</v>
      </c>
      <c r="F307" s="1" t="s">
        <v>14</v>
      </c>
      <c r="G307" s="14" t="s">
        <v>155</v>
      </c>
      <c r="H307" t="s">
        <v>192</v>
      </c>
    </row>
    <row r="308" spans="1:8" x14ac:dyDescent="0.35">
      <c r="A308" t="s">
        <v>242</v>
      </c>
      <c r="B308" t="s">
        <v>18</v>
      </c>
      <c r="C308" s="9" t="s">
        <v>31</v>
      </c>
      <c r="D308" s="1" t="s">
        <v>15</v>
      </c>
      <c r="E308" s="1" t="s">
        <v>13</v>
      </c>
      <c r="F308" s="1">
        <v>12</v>
      </c>
      <c r="G308" s="14" t="s">
        <v>244</v>
      </c>
    </row>
    <row r="309" spans="1:8" x14ac:dyDescent="0.35">
      <c r="A309" t="s">
        <v>242</v>
      </c>
      <c r="B309" t="s">
        <v>10</v>
      </c>
      <c r="C309" s="9" t="s">
        <v>249</v>
      </c>
      <c r="D309" s="1" t="s">
        <v>37</v>
      </c>
      <c r="E309" s="1" t="s">
        <v>13</v>
      </c>
      <c r="F309" s="1">
        <v>4.16</v>
      </c>
      <c r="G309" s="14" t="s">
        <v>245</v>
      </c>
    </row>
    <row r="310" spans="1:8" x14ac:dyDescent="0.35">
      <c r="A310" t="s">
        <v>242</v>
      </c>
      <c r="B310" t="s">
        <v>10</v>
      </c>
      <c r="C310" s="9" t="s">
        <v>249</v>
      </c>
      <c r="D310" s="1" t="s">
        <v>202</v>
      </c>
      <c r="E310" s="1" t="s">
        <v>17</v>
      </c>
      <c r="F310" s="1" t="s">
        <v>14</v>
      </c>
      <c r="G310" s="14" t="s">
        <v>141</v>
      </c>
      <c r="H310" t="s">
        <v>190</v>
      </c>
    </row>
    <row r="311" spans="1:8" x14ac:dyDescent="0.35">
      <c r="A311" t="s">
        <v>242</v>
      </c>
      <c r="B311" t="s">
        <v>10</v>
      </c>
      <c r="C311" s="9" t="s">
        <v>249</v>
      </c>
      <c r="D311" s="1" t="s">
        <v>246</v>
      </c>
      <c r="E311" s="1" t="s">
        <v>13</v>
      </c>
      <c r="F311" s="1">
        <v>3.17</v>
      </c>
      <c r="G311" s="14" t="s">
        <v>14</v>
      </c>
    </row>
    <row r="312" spans="1:8" x14ac:dyDescent="0.35">
      <c r="A312" t="s">
        <v>242</v>
      </c>
      <c r="B312" t="s">
        <v>10</v>
      </c>
      <c r="C312" s="9" t="s">
        <v>249</v>
      </c>
      <c r="D312" s="1" t="s">
        <v>247</v>
      </c>
      <c r="E312" s="1" t="s">
        <v>17</v>
      </c>
      <c r="F312" s="1" t="s">
        <v>14</v>
      </c>
      <c r="G312" s="14" t="s">
        <v>141</v>
      </c>
      <c r="H312" t="s">
        <v>190</v>
      </c>
    </row>
    <row r="313" spans="1:8" x14ac:dyDescent="0.35">
      <c r="A313" t="s">
        <v>242</v>
      </c>
      <c r="B313" t="s">
        <v>18</v>
      </c>
      <c r="C313" s="9" t="s">
        <v>249</v>
      </c>
      <c r="D313" s="1" t="s">
        <v>135</v>
      </c>
      <c r="E313" s="1" t="s">
        <v>13</v>
      </c>
      <c r="F313" s="1">
        <v>4.3099999999999996</v>
      </c>
      <c r="G313" s="14" t="s">
        <v>14</v>
      </c>
    </row>
    <row r="314" spans="1:8" x14ac:dyDescent="0.35">
      <c r="A314" t="s">
        <v>242</v>
      </c>
      <c r="B314" t="s">
        <v>18</v>
      </c>
      <c r="C314" s="9" t="s">
        <v>249</v>
      </c>
      <c r="D314" s="1" t="s">
        <v>40</v>
      </c>
      <c r="E314" s="1" t="s">
        <v>17</v>
      </c>
      <c r="F314" s="1" t="s">
        <v>14</v>
      </c>
      <c r="G314" s="14" t="s">
        <v>209</v>
      </c>
      <c r="H314" t="s">
        <v>190</v>
      </c>
    </row>
    <row r="315" spans="1:8" x14ac:dyDescent="0.35">
      <c r="A315" t="s">
        <v>242</v>
      </c>
      <c r="B315" t="s">
        <v>18</v>
      </c>
      <c r="C315" s="9" t="s">
        <v>249</v>
      </c>
      <c r="D315" s="1" t="s">
        <v>29</v>
      </c>
      <c r="E315" s="1" t="s">
        <v>13</v>
      </c>
      <c r="F315" s="1">
        <v>19.21</v>
      </c>
      <c r="G315" s="14" t="s">
        <v>14</v>
      </c>
    </row>
    <row r="316" spans="1:8" x14ac:dyDescent="0.35">
      <c r="A316" t="s">
        <v>242</v>
      </c>
      <c r="B316" t="s">
        <v>18</v>
      </c>
      <c r="C316" s="9" t="s">
        <v>249</v>
      </c>
      <c r="D316" s="1" t="s">
        <v>240</v>
      </c>
      <c r="E316" s="1" t="s">
        <v>17</v>
      </c>
      <c r="F316" s="1" t="s">
        <v>14</v>
      </c>
      <c r="G316" s="14" t="s">
        <v>141</v>
      </c>
      <c r="H316" t="s">
        <v>190</v>
      </c>
    </row>
    <row r="317" spans="1:8" x14ac:dyDescent="0.35">
      <c r="A317" t="s">
        <v>242</v>
      </c>
      <c r="B317" t="s">
        <v>18</v>
      </c>
      <c r="C317" s="9" t="s">
        <v>249</v>
      </c>
      <c r="D317" s="1" t="s">
        <v>40</v>
      </c>
      <c r="E317" s="1" t="s">
        <v>17</v>
      </c>
      <c r="F317" s="1" t="s">
        <v>14</v>
      </c>
      <c r="G317" s="14" t="s">
        <v>248</v>
      </c>
      <c r="H317" t="s">
        <v>189</v>
      </c>
    </row>
    <row r="318" spans="1:8" x14ac:dyDescent="0.35">
      <c r="A318" t="s">
        <v>320</v>
      </c>
      <c r="B318" t="s">
        <v>10</v>
      </c>
      <c r="C318" s="9" t="s">
        <v>255</v>
      </c>
      <c r="D318" s="8" t="s">
        <v>212</v>
      </c>
      <c r="E318" s="8" t="s">
        <v>13</v>
      </c>
      <c r="F318" s="8">
        <v>1.45</v>
      </c>
    </row>
    <row r="319" spans="1:8" x14ac:dyDescent="0.35">
      <c r="A319" t="s">
        <v>320</v>
      </c>
      <c r="B319" t="s">
        <v>10</v>
      </c>
      <c r="C319" s="9" t="s">
        <v>255</v>
      </c>
      <c r="D319" s="8" t="s">
        <v>156</v>
      </c>
      <c r="E319" s="8" t="s">
        <v>13</v>
      </c>
      <c r="F319" s="8">
        <v>0.52</v>
      </c>
    </row>
    <row r="320" spans="1:8" x14ac:dyDescent="0.35">
      <c r="A320" t="s">
        <v>320</v>
      </c>
      <c r="B320" t="s">
        <v>10</v>
      </c>
      <c r="C320" s="9" t="s">
        <v>255</v>
      </c>
      <c r="D320" s="8" t="s">
        <v>253</v>
      </c>
      <c r="E320" s="8" t="s">
        <v>13</v>
      </c>
      <c r="F320" s="8">
        <v>3.34</v>
      </c>
    </row>
    <row r="321" spans="1:8" x14ac:dyDescent="0.35">
      <c r="A321" t="s">
        <v>320</v>
      </c>
      <c r="B321" t="s">
        <v>10</v>
      </c>
      <c r="C321" s="9" t="s">
        <v>255</v>
      </c>
      <c r="D321" s="8" t="s">
        <v>223</v>
      </c>
      <c r="E321" s="8" t="s">
        <v>13</v>
      </c>
      <c r="F321" s="8">
        <v>1.39</v>
      </c>
    </row>
    <row r="322" spans="1:8" x14ac:dyDescent="0.35">
      <c r="A322" t="s">
        <v>320</v>
      </c>
      <c r="B322" t="s">
        <v>10</v>
      </c>
      <c r="C322" s="9" t="s">
        <v>255</v>
      </c>
      <c r="D322" s="8" t="s">
        <v>254</v>
      </c>
      <c r="E322" s="8" t="s">
        <v>13</v>
      </c>
      <c r="F322" s="8">
        <v>2.2000000000000002</v>
      </c>
    </row>
    <row r="323" spans="1:8" x14ac:dyDescent="0.35">
      <c r="A323" t="s">
        <v>320</v>
      </c>
      <c r="B323" t="s">
        <v>10</v>
      </c>
      <c r="C323" s="9" t="s">
        <v>255</v>
      </c>
      <c r="D323" s="8" t="s">
        <v>223</v>
      </c>
      <c r="E323" s="8" t="s">
        <v>17</v>
      </c>
      <c r="F323" s="8"/>
      <c r="G323" s="14" t="s">
        <v>182</v>
      </c>
      <c r="H323" t="s">
        <v>191</v>
      </c>
    </row>
    <row r="324" spans="1:8" ht="15.75" customHeight="1" x14ac:dyDescent="0.35">
      <c r="A324" t="s">
        <v>320</v>
      </c>
      <c r="B324" s="7" t="s">
        <v>18</v>
      </c>
      <c r="C324" s="9" t="s">
        <v>255</v>
      </c>
      <c r="D324" s="8" t="s">
        <v>256</v>
      </c>
      <c r="E324" s="8" t="s">
        <v>17</v>
      </c>
      <c r="F324" s="8"/>
      <c r="G324" s="14" t="s">
        <v>257</v>
      </c>
      <c r="H324" t="s">
        <v>194</v>
      </c>
    </row>
    <row r="325" spans="1:8" ht="15.75" customHeight="1" x14ac:dyDescent="0.35">
      <c r="A325" t="s">
        <v>320</v>
      </c>
      <c r="B325" s="7" t="s">
        <v>18</v>
      </c>
      <c r="C325" s="9" t="s">
        <v>255</v>
      </c>
      <c r="D325" s="8" t="s">
        <v>160</v>
      </c>
      <c r="E325" s="8" t="s">
        <v>17</v>
      </c>
      <c r="F325" s="8"/>
      <c r="G325" s="14" t="s">
        <v>258</v>
      </c>
      <c r="H325" t="s">
        <v>191</v>
      </c>
    </row>
    <row r="326" spans="1:8" ht="15.75" customHeight="1" x14ac:dyDescent="0.35">
      <c r="A326" t="s">
        <v>320</v>
      </c>
      <c r="B326" s="7" t="s">
        <v>18</v>
      </c>
      <c r="C326" s="9" t="s">
        <v>255</v>
      </c>
      <c r="D326" s="8" t="s">
        <v>144</v>
      </c>
      <c r="E326" s="8" t="s">
        <v>13</v>
      </c>
      <c r="F326" s="8">
        <v>2.46</v>
      </c>
      <c r="G326" s="14" t="s">
        <v>259</v>
      </c>
    </row>
    <row r="327" spans="1:8" x14ac:dyDescent="0.35">
      <c r="A327" t="s">
        <v>320</v>
      </c>
      <c r="B327" s="7" t="s">
        <v>18</v>
      </c>
      <c r="C327" s="9" t="s">
        <v>255</v>
      </c>
      <c r="D327" s="8" t="s">
        <v>260</v>
      </c>
      <c r="E327" s="8" t="s">
        <v>13</v>
      </c>
      <c r="F327" s="8">
        <v>2.17</v>
      </c>
    </row>
    <row r="328" spans="1:8" ht="15.75" customHeight="1" x14ac:dyDescent="0.35">
      <c r="A328" t="s">
        <v>320</v>
      </c>
      <c r="B328" s="7" t="s">
        <v>18</v>
      </c>
      <c r="C328" s="9" t="s">
        <v>255</v>
      </c>
      <c r="D328" s="8" t="s">
        <v>128</v>
      </c>
      <c r="E328" s="8" t="s">
        <v>13</v>
      </c>
      <c r="F328" s="8">
        <v>3.99</v>
      </c>
      <c r="G328" s="14" t="s">
        <v>261</v>
      </c>
    </row>
    <row r="329" spans="1:8" x14ac:dyDescent="0.35">
      <c r="A329" t="s">
        <v>262</v>
      </c>
      <c r="B329" t="s">
        <v>10</v>
      </c>
      <c r="C329" s="11" t="s">
        <v>11</v>
      </c>
      <c r="D329" s="1" t="s">
        <v>110</v>
      </c>
      <c r="E329" s="1" t="s">
        <v>13</v>
      </c>
      <c r="F329" s="1">
        <v>24.01</v>
      </c>
      <c r="G329" s="14" t="s">
        <v>263</v>
      </c>
    </row>
    <row r="330" spans="1:8" x14ac:dyDescent="0.35">
      <c r="A330" t="s">
        <v>262</v>
      </c>
      <c r="B330" t="s">
        <v>10</v>
      </c>
      <c r="C330" s="11" t="s">
        <v>11</v>
      </c>
      <c r="D330" s="1" t="s">
        <v>33</v>
      </c>
      <c r="E330" s="1" t="s">
        <v>13</v>
      </c>
      <c r="F330" s="1">
        <v>5.76</v>
      </c>
      <c r="G330" s="14" t="s">
        <v>14</v>
      </c>
    </row>
    <row r="331" spans="1:8" x14ac:dyDescent="0.35">
      <c r="A331" t="s">
        <v>262</v>
      </c>
      <c r="B331" t="s">
        <v>10</v>
      </c>
      <c r="C331" s="11" t="s">
        <v>11</v>
      </c>
      <c r="D331" s="1" t="s">
        <v>114</v>
      </c>
      <c r="E331" s="1" t="s">
        <v>13</v>
      </c>
      <c r="F331" s="1">
        <v>1.47</v>
      </c>
      <c r="G331" s="14" t="s">
        <v>264</v>
      </c>
    </row>
    <row r="332" spans="1:8" x14ac:dyDescent="0.35">
      <c r="A332" t="s">
        <v>262</v>
      </c>
      <c r="B332" t="s">
        <v>10</v>
      </c>
      <c r="C332" s="11" t="s">
        <v>11</v>
      </c>
      <c r="D332" s="1" t="s">
        <v>37</v>
      </c>
      <c r="E332" s="1" t="s">
        <v>13</v>
      </c>
      <c r="F332" s="1">
        <v>7.13</v>
      </c>
      <c r="G332" s="14" t="s">
        <v>265</v>
      </c>
    </row>
    <row r="333" spans="1:8" x14ac:dyDescent="0.35">
      <c r="A333" t="s">
        <v>262</v>
      </c>
      <c r="B333" t="s">
        <v>10</v>
      </c>
      <c r="C333" s="11" t="s">
        <v>11</v>
      </c>
      <c r="D333" s="1" t="s">
        <v>266</v>
      </c>
      <c r="E333" s="1" t="s">
        <v>17</v>
      </c>
      <c r="F333" s="1" t="s">
        <v>14</v>
      </c>
      <c r="G333" s="14" t="s">
        <v>267</v>
      </c>
      <c r="H333" t="s">
        <v>194</v>
      </c>
    </row>
    <row r="334" spans="1:8" x14ac:dyDescent="0.35">
      <c r="A334" t="s">
        <v>262</v>
      </c>
      <c r="B334" t="s">
        <v>18</v>
      </c>
      <c r="C334" s="11" t="s">
        <v>11</v>
      </c>
      <c r="D334" s="1" t="s">
        <v>40</v>
      </c>
      <c r="E334" s="1" t="s">
        <v>13</v>
      </c>
      <c r="F334" s="1">
        <v>3.67</v>
      </c>
      <c r="G334" s="14" t="s">
        <v>14</v>
      </c>
    </row>
    <row r="335" spans="1:8" x14ac:dyDescent="0.35">
      <c r="A335" t="s">
        <v>262</v>
      </c>
      <c r="B335" t="s">
        <v>18</v>
      </c>
      <c r="C335" s="11" t="s">
        <v>11</v>
      </c>
      <c r="D335" s="1" t="s">
        <v>28</v>
      </c>
      <c r="E335" s="1" t="s">
        <v>17</v>
      </c>
      <c r="F335" s="1" t="s">
        <v>14</v>
      </c>
      <c r="G335" s="14" t="s">
        <v>141</v>
      </c>
      <c r="H335" t="s">
        <v>190</v>
      </c>
    </row>
    <row r="336" spans="1:8" x14ac:dyDescent="0.35">
      <c r="A336" t="s">
        <v>262</v>
      </c>
      <c r="B336" t="s">
        <v>18</v>
      </c>
      <c r="C336" s="11" t="s">
        <v>11</v>
      </c>
      <c r="D336" s="1" t="s">
        <v>24</v>
      </c>
      <c r="E336" s="1" t="s">
        <v>13</v>
      </c>
      <c r="F336" s="1">
        <v>4.78</v>
      </c>
      <c r="G336" s="14" t="s">
        <v>14</v>
      </c>
    </row>
    <row r="337" spans="1:8" x14ac:dyDescent="0.35">
      <c r="A337" t="s">
        <v>262</v>
      </c>
      <c r="B337" t="s">
        <v>18</v>
      </c>
      <c r="C337" s="11" t="s">
        <v>11</v>
      </c>
      <c r="D337" s="1" t="s">
        <v>29</v>
      </c>
      <c r="E337" s="1" t="s">
        <v>13</v>
      </c>
      <c r="F337" s="1">
        <v>7.73</v>
      </c>
      <c r="G337" s="14" t="s">
        <v>14</v>
      </c>
    </row>
    <row r="338" spans="1:8" x14ac:dyDescent="0.35">
      <c r="A338" t="s">
        <v>262</v>
      </c>
      <c r="B338" t="s">
        <v>18</v>
      </c>
      <c r="C338" s="11" t="s">
        <v>11</v>
      </c>
      <c r="D338" s="1" t="s">
        <v>15</v>
      </c>
      <c r="E338" s="1" t="s">
        <v>13</v>
      </c>
      <c r="F338" s="1">
        <v>14.87</v>
      </c>
      <c r="G338" s="14" t="s">
        <v>14</v>
      </c>
    </row>
    <row r="339" spans="1:8" x14ac:dyDescent="0.35">
      <c r="A339" t="s">
        <v>318</v>
      </c>
      <c r="B339" s="7" t="s">
        <v>18</v>
      </c>
      <c r="C339" s="11" t="s">
        <v>268</v>
      </c>
      <c r="D339" s="8" t="s">
        <v>178</v>
      </c>
      <c r="E339" s="8" t="s">
        <v>13</v>
      </c>
      <c r="F339" s="8">
        <v>2.99</v>
      </c>
    </row>
    <row r="340" spans="1:8" x14ac:dyDescent="0.35">
      <c r="A340" t="s">
        <v>318</v>
      </c>
      <c r="B340" s="7" t="s">
        <v>18</v>
      </c>
      <c r="C340" s="11" t="s">
        <v>268</v>
      </c>
      <c r="D340" s="8" t="s">
        <v>169</v>
      </c>
      <c r="E340" s="8" t="s">
        <v>13</v>
      </c>
      <c r="F340" s="8">
        <v>7.58</v>
      </c>
    </row>
    <row r="341" spans="1:8" ht="15.75" customHeight="1" x14ac:dyDescent="0.35">
      <c r="A341" t="s">
        <v>318</v>
      </c>
      <c r="B341" s="7" t="s">
        <v>18</v>
      </c>
      <c r="C341" s="11" t="s">
        <v>268</v>
      </c>
      <c r="D341" s="8" t="s">
        <v>123</v>
      </c>
      <c r="E341" s="8" t="s">
        <v>17</v>
      </c>
      <c r="F341" s="8"/>
      <c r="G341" s="14" t="s">
        <v>269</v>
      </c>
      <c r="H341" t="s">
        <v>191</v>
      </c>
    </row>
    <row r="342" spans="1:8" x14ac:dyDescent="0.35">
      <c r="A342" t="s">
        <v>318</v>
      </c>
      <c r="B342" s="7" t="s">
        <v>18</v>
      </c>
      <c r="C342" s="11" t="s">
        <v>268</v>
      </c>
      <c r="D342" s="8" t="s">
        <v>124</v>
      </c>
      <c r="E342" s="8" t="s">
        <v>13</v>
      </c>
      <c r="F342" s="8">
        <v>1.78</v>
      </c>
    </row>
    <row r="343" spans="1:8" x14ac:dyDescent="0.35">
      <c r="A343" t="s">
        <v>318</v>
      </c>
      <c r="B343" s="7" t="s">
        <v>10</v>
      </c>
      <c r="C343" s="11" t="s">
        <v>268</v>
      </c>
      <c r="D343" s="8" t="s">
        <v>183</v>
      </c>
      <c r="E343" s="8" t="s">
        <v>13</v>
      </c>
      <c r="F343" s="8">
        <v>3.22</v>
      </c>
    </row>
    <row r="344" spans="1:8" x14ac:dyDescent="0.35">
      <c r="A344" t="s">
        <v>318</v>
      </c>
      <c r="B344" s="7" t="s">
        <v>10</v>
      </c>
      <c r="C344" s="11" t="s">
        <v>268</v>
      </c>
      <c r="D344" s="8" t="s">
        <v>270</v>
      </c>
      <c r="E344" s="8" t="s">
        <v>13</v>
      </c>
      <c r="F344" s="8">
        <v>2.78</v>
      </c>
    </row>
    <row r="345" spans="1:8" x14ac:dyDescent="0.35">
      <c r="A345" t="s">
        <v>318</v>
      </c>
      <c r="B345" s="7" t="s">
        <v>271</v>
      </c>
      <c r="C345" s="11" t="s">
        <v>268</v>
      </c>
      <c r="D345" s="8">
        <v>4</v>
      </c>
      <c r="E345" s="8" t="s">
        <v>17</v>
      </c>
      <c r="F345" s="8"/>
      <c r="G345" s="14" t="s">
        <v>182</v>
      </c>
      <c r="H345" t="s">
        <v>191</v>
      </c>
    </row>
    <row r="346" spans="1:8" x14ac:dyDescent="0.35">
      <c r="A346" t="s">
        <v>319</v>
      </c>
      <c r="B346" s="7" t="s">
        <v>271</v>
      </c>
      <c r="C346" s="12" t="s">
        <v>31</v>
      </c>
      <c r="D346" s="8" t="s">
        <v>272</v>
      </c>
      <c r="E346" s="8" t="s">
        <v>13</v>
      </c>
      <c r="F346" s="8">
        <v>3.48</v>
      </c>
    </row>
    <row r="347" spans="1:8" x14ac:dyDescent="0.35">
      <c r="A347" t="s">
        <v>319</v>
      </c>
      <c r="B347" s="7" t="s">
        <v>271</v>
      </c>
      <c r="C347" s="12" t="s">
        <v>31</v>
      </c>
      <c r="D347" s="8" t="s">
        <v>273</v>
      </c>
      <c r="E347" s="8" t="s">
        <v>17</v>
      </c>
      <c r="F347" s="8"/>
      <c r="G347" s="14" t="s">
        <v>274</v>
      </c>
      <c r="H347" t="s">
        <v>191</v>
      </c>
    </row>
    <row r="348" spans="1:8" x14ac:dyDescent="0.35">
      <c r="A348" t="s">
        <v>319</v>
      </c>
      <c r="B348" s="7" t="s">
        <v>271</v>
      </c>
      <c r="C348" s="12" t="s">
        <v>31</v>
      </c>
      <c r="D348" s="8" t="s">
        <v>275</v>
      </c>
      <c r="E348" s="8" t="s">
        <v>17</v>
      </c>
      <c r="F348" s="8"/>
      <c r="G348" s="14" t="s">
        <v>276</v>
      </c>
      <c r="H348" t="s">
        <v>194</v>
      </c>
    </row>
    <row r="349" spans="1:8" x14ac:dyDescent="0.35">
      <c r="A349" t="s">
        <v>319</v>
      </c>
      <c r="B349" s="7" t="s">
        <v>271</v>
      </c>
      <c r="C349" s="12" t="s">
        <v>31</v>
      </c>
      <c r="D349" s="8" t="s">
        <v>277</v>
      </c>
      <c r="E349" s="8" t="s">
        <v>13</v>
      </c>
      <c r="F349" s="8">
        <v>5.32</v>
      </c>
    </row>
    <row r="350" spans="1:8" x14ac:dyDescent="0.35">
      <c r="A350" t="s">
        <v>319</v>
      </c>
      <c r="B350" s="7" t="s">
        <v>271</v>
      </c>
      <c r="C350" s="12" t="s">
        <v>31</v>
      </c>
      <c r="D350" s="8" t="s">
        <v>273</v>
      </c>
      <c r="E350" s="8" t="s">
        <v>13</v>
      </c>
      <c r="F350" s="8">
        <v>1.52</v>
      </c>
    </row>
    <row r="351" spans="1:8" ht="15.75" customHeight="1" x14ac:dyDescent="0.35">
      <c r="A351" t="s">
        <v>319</v>
      </c>
      <c r="B351" s="7" t="s">
        <v>271</v>
      </c>
      <c r="C351" s="12" t="s">
        <v>31</v>
      </c>
      <c r="D351" s="8" t="s">
        <v>160</v>
      </c>
      <c r="E351" s="8" t="s">
        <v>17</v>
      </c>
      <c r="F351" s="8"/>
      <c r="G351" s="14" t="s">
        <v>278</v>
      </c>
      <c r="H351" t="s">
        <v>191</v>
      </c>
    </row>
    <row r="352" spans="1:8" x14ac:dyDescent="0.35">
      <c r="A352" t="s">
        <v>319</v>
      </c>
      <c r="B352" s="7" t="s">
        <v>271</v>
      </c>
      <c r="C352" s="12" t="s">
        <v>31</v>
      </c>
      <c r="D352" s="8" t="s">
        <v>144</v>
      </c>
      <c r="E352" s="8" t="s">
        <v>13</v>
      </c>
      <c r="F352" s="8">
        <v>3.74</v>
      </c>
    </row>
    <row r="353" spans="1:8" ht="15.75" customHeight="1" x14ac:dyDescent="0.35">
      <c r="A353" t="s">
        <v>319</v>
      </c>
      <c r="B353" s="7" t="s">
        <v>18</v>
      </c>
      <c r="C353" s="12" t="s">
        <v>31</v>
      </c>
      <c r="D353" s="8" t="s">
        <v>128</v>
      </c>
      <c r="E353" s="8" t="s">
        <v>13</v>
      </c>
      <c r="F353" s="8">
        <v>0.87</v>
      </c>
      <c r="G353" s="14" t="s">
        <v>279</v>
      </c>
    </row>
    <row r="354" spans="1:8" x14ac:dyDescent="0.35">
      <c r="A354" t="s">
        <v>319</v>
      </c>
      <c r="B354" s="7" t="s">
        <v>18</v>
      </c>
      <c r="C354" s="12" t="s">
        <v>31</v>
      </c>
      <c r="D354" s="8" t="s">
        <v>127</v>
      </c>
      <c r="E354" s="8" t="s">
        <v>13</v>
      </c>
      <c r="F354" s="8">
        <v>2.66</v>
      </c>
    </row>
    <row r="355" spans="1:8" x14ac:dyDescent="0.35">
      <c r="A355" t="s">
        <v>319</v>
      </c>
      <c r="B355" s="7" t="s">
        <v>10</v>
      </c>
      <c r="C355" s="12" t="s">
        <v>31</v>
      </c>
      <c r="D355" s="8" t="s">
        <v>275</v>
      </c>
      <c r="E355" s="8" t="s">
        <v>13</v>
      </c>
      <c r="F355" s="8">
        <v>1.07</v>
      </c>
    </row>
    <row r="356" spans="1:8" x14ac:dyDescent="0.35">
      <c r="A356" t="s">
        <v>280</v>
      </c>
      <c r="B356" t="s">
        <v>10</v>
      </c>
      <c r="C356" s="11" t="s">
        <v>11</v>
      </c>
      <c r="D356" s="1" t="s">
        <v>36</v>
      </c>
      <c r="E356" s="1" t="s">
        <v>13</v>
      </c>
      <c r="F356" s="1">
        <v>3.89</v>
      </c>
      <c r="G356" s="14" t="s">
        <v>14</v>
      </c>
    </row>
    <row r="357" spans="1:8" x14ac:dyDescent="0.35">
      <c r="A357" t="s">
        <v>280</v>
      </c>
      <c r="B357" t="s">
        <v>10</v>
      </c>
      <c r="C357" s="11" t="s">
        <v>11</v>
      </c>
      <c r="D357" s="1" t="s">
        <v>33</v>
      </c>
      <c r="E357" s="1" t="s">
        <v>17</v>
      </c>
      <c r="F357" s="1" t="s">
        <v>14</v>
      </c>
      <c r="G357" s="14" t="s">
        <v>281</v>
      </c>
      <c r="H357" t="s">
        <v>190</v>
      </c>
    </row>
    <row r="358" spans="1:8" x14ac:dyDescent="0.35">
      <c r="A358" t="s">
        <v>280</v>
      </c>
      <c r="B358" t="s">
        <v>271</v>
      </c>
      <c r="C358" s="11" t="s">
        <v>11</v>
      </c>
      <c r="D358" s="1" t="s">
        <v>23</v>
      </c>
      <c r="E358" s="1" t="s">
        <v>13</v>
      </c>
      <c r="F358" s="1">
        <v>6.07</v>
      </c>
      <c r="G358" s="14" t="s">
        <v>14</v>
      </c>
    </row>
    <row r="359" spans="1:8" x14ac:dyDescent="0.35">
      <c r="A359" t="s">
        <v>280</v>
      </c>
      <c r="B359" t="s">
        <v>18</v>
      </c>
      <c r="C359" s="11" t="s">
        <v>11</v>
      </c>
      <c r="D359" s="1" t="s">
        <v>222</v>
      </c>
      <c r="E359" s="1" t="s">
        <v>17</v>
      </c>
      <c r="F359" s="1" t="s">
        <v>14</v>
      </c>
      <c r="G359" s="14" t="s">
        <v>282</v>
      </c>
      <c r="H359" t="s">
        <v>193</v>
      </c>
    </row>
    <row r="360" spans="1:8" x14ac:dyDescent="0.35">
      <c r="A360" t="s">
        <v>280</v>
      </c>
      <c r="B360" t="s">
        <v>18</v>
      </c>
      <c r="C360" s="11" t="s">
        <v>11</v>
      </c>
      <c r="D360" s="1" t="s">
        <v>40</v>
      </c>
      <c r="E360" s="1" t="s">
        <v>17</v>
      </c>
      <c r="F360" s="1" t="s">
        <v>14</v>
      </c>
      <c r="G360" s="14" t="s">
        <v>141</v>
      </c>
      <c r="H360" t="s">
        <v>190</v>
      </c>
    </row>
    <row r="361" spans="1:8" x14ac:dyDescent="0.35">
      <c r="A361" t="s">
        <v>280</v>
      </c>
      <c r="B361" t="s">
        <v>18</v>
      </c>
      <c r="C361" s="11" t="s">
        <v>11</v>
      </c>
      <c r="D361" s="1" t="s">
        <v>15</v>
      </c>
      <c r="E361" s="1" t="s">
        <v>13</v>
      </c>
      <c r="F361" s="1">
        <v>10.51</v>
      </c>
      <c r="G361" s="14" t="s">
        <v>14</v>
      </c>
    </row>
    <row r="362" spans="1:8" x14ac:dyDescent="0.35">
      <c r="A362" t="s">
        <v>280</v>
      </c>
      <c r="B362" t="s">
        <v>18</v>
      </c>
      <c r="C362" s="11" t="s">
        <v>11</v>
      </c>
      <c r="D362" s="1" t="s">
        <v>29</v>
      </c>
      <c r="E362" s="1" t="s">
        <v>13</v>
      </c>
      <c r="F362" s="1">
        <v>12.07</v>
      </c>
      <c r="G362" s="14" t="s">
        <v>14</v>
      </c>
    </row>
    <row r="363" spans="1:8" x14ac:dyDescent="0.35">
      <c r="A363" t="s">
        <v>283</v>
      </c>
      <c r="B363" t="s">
        <v>10</v>
      </c>
      <c r="C363" s="11" t="s">
        <v>11</v>
      </c>
      <c r="D363" s="1" t="s">
        <v>94</v>
      </c>
      <c r="E363" s="1" t="s">
        <v>17</v>
      </c>
      <c r="F363" s="1" t="s">
        <v>14</v>
      </c>
      <c r="G363" s="14" t="s">
        <v>141</v>
      </c>
      <c r="H363" t="s">
        <v>190</v>
      </c>
    </row>
    <row r="364" spans="1:8" x14ac:dyDescent="0.35">
      <c r="A364" t="s">
        <v>283</v>
      </c>
      <c r="B364" t="s">
        <v>10</v>
      </c>
      <c r="C364" s="11" t="s">
        <v>11</v>
      </c>
      <c r="D364" s="1" t="s">
        <v>36</v>
      </c>
      <c r="E364" s="1" t="s">
        <v>13</v>
      </c>
      <c r="F364" s="1">
        <v>5.69</v>
      </c>
      <c r="G364" s="14" t="s">
        <v>284</v>
      </c>
    </row>
    <row r="365" spans="1:8" x14ac:dyDescent="0.35">
      <c r="A365" t="s">
        <v>283</v>
      </c>
      <c r="B365" t="s">
        <v>10</v>
      </c>
      <c r="C365" s="11" t="s">
        <v>11</v>
      </c>
      <c r="D365" s="1" t="s">
        <v>94</v>
      </c>
      <c r="E365" s="1" t="s">
        <v>13</v>
      </c>
      <c r="F365" s="1">
        <v>8.39</v>
      </c>
      <c r="G365" s="14" t="s">
        <v>14</v>
      </c>
    </row>
    <row r="366" spans="1:8" x14ac:dyDescent="0.35">
      <c r="A366" t="s">
        <v>283</v>
      </c>
      <c r="B366" t="s">
        <v>10</v>
      </c>
      <c r="C366" s="11" t="s">
        <v>11</v>
      </c>
      <c r="D366" s="1" t="s">
        <v>33</v>
      </c>
      <c r="E366" s="1" t="s">
        <v>13</v>
      </c>
      <c r="F366" s="1">
        <v>4.2300000000000004</v>
      </c>
      <c r="G366" s="14" t="s">
        <v>14</v>
      </c>
    </row>
    <row r="367" spans="1:8" x14ac:dyDescent="0.35">
      <c r="A367" t="s">
        <v>283</v>
      </c>
      <c r="B367" t="s">
        <v>271</v>
      </c>
      <c r="C367" s="11" t="s">
        <v>11</v>
      </c>
      <c r="D367" s="1" t="s">
        <v>272</v>
      </c>
      <c r="E367" s="1" t="s">
        <v>13</v>
      </c>
      <c r="F367" s="1">
        <v>3.84</v>
      </c>
      <c r="G367" s="14" t="s">
        <v>14</v>
      </c>
    </row>
    <row r="368" spans="1:8" x14ac:dyDescent="0.35">
      <c r="A368" t="s">
        <v>283</v>
      </c>
      <c r="B368" t="s">
        <v>271</v>
      </c>
      <c r="C368" s="11" t="s">
        <v>11</v>
      </c>
      <c r="D368" s="1" t="s">
        <v>285</v>
      </c>
      <c r="E368" s="1" t="s">
        <v>13</v>
      </c>
      <c r="F368" s="1">
        <v>8.7899999999999991</v>
      </c>
      <c r="G368" s="14" t="s">
        <v>14</v>
      </c>
    </row>
    <row r="369" spans="1:8" x14ac:dyDescent="0.35">
      <c r="A369" t="s">
        <v>283</v>
      </c>
      <c r="B369" t="s">
        <v>18</v>
      </c>
      <c r="C369" s="11" t="s">
        <v>11</v>
      </c>
      <c r="D369" s="1" t="s">
        <v>40</v>
      </c>
      <c r="E369" s="1" t="s">
        <v>17</v>
      </c>
      <c r="F369" s="1" t="s">
        <v>14</v>
      </c>
      <c r="G369" s="14" t="s">
        <v>141</v>
      </c>
      <c r="H369" t="s">
        <v>190</v>
      </c>
    </row>
    <row r="370" spans="1:8" x14ac:dyDescent="0.35">
      <c r="A370" t="s">
        <v>283</v>
      </c>
      <c r="B370" t="s">
        <v>18</v>
      </c>
      <c r="C370" s="11" t="s">
        <v>11</v>
      </c>
      <c r="D370" s="1" t="s">
        <v>96</v>
      </c>
      <c r="E370" s="1" t="s">
        <v>13</v>
      </c>
      <c r="F370" s="1">
        <v>4.4000000000000004</v>
      </c>
      <c r="G370" s="14" t="s">
        <v>14</v>
      </c>
    </row>
    <row r="371" spans="1:8" x14ac:dyDescent="0.35">
      <c r="A371" t="s">
        <v>283</v>
      </c>
      <c r="B371" t="s">
        <v>18</v>
      </c>
      <c r="C371" s="11" t="s">
        <v>11</v>
      </c>
      <c r="D371" s="1" t="s">
        <v>15</v>
      </c>
      <c r="E371" s="1" t="s">
        <v>13</v>
      </c>
      <c r="F371" s="1">
        <v>16.850000000000001</v>
      </c>
      <c r="G371" s="14" t="s">
        <v>14</v>
      </c>
    </row>
    <row r="372" spans="1:8" x14ac:dyDescent="0.35">
      <c r="A372" t="s">
        <v>283</v>
      </c>
      <c r="B372" t="s">
        <v>18</v>
      </c>
      <c r="C372" s="11" t="s">
        <v>11</v>
      </c>
      <c r="D372" s="1" t="s">
        <v>29</v>
      </c>
      <c r="E372" s="1" t="s">
        <v>13</v>
      </c>
      <c r="F372" s="1">
        <v>12</v>
      </c>
    </row>
    <row r="373" spans="1:8" x14ac:dyDescent="0.35">
      <c r="A373" t="s">
        <v>283</v>
      </c>
      <c r="B373" t="s">
        <v>18</v>
      </c>
      <c r="C373" s="11" t="s">
        <v>11</v>
      </c>
      <c r="D373" s="1" t="s">
        <v>40</v>
      </c>
      <c r="E373" s="1" t="s">
        <v>13</v>
      </c>
      <c r="F373" s="1">
        <v>9.9600000000000009</v>
      </c>
      <c r="G373" s="14" t="s">
        <v>14</v>
      </c>
    </row>
    <row r="374" spans="1:8" x14ac:dyDescent="0.35">
      <c r="A374" t="s">
        <v>283</v>
      </c>
      <c r="B374" t="s">
        <v>10</v>
      </c>
      <c r="C374" s="11" t="s">
        <v>11</v>
      </c>
      <c r="D374" s="1" t="s">
        <v>19</v>
      </c>
      <c r="E374" s="1" t="s">
        <v>13</v>
      </c>
      <c r="F374" s="1">
        <v>4.99</v>
      </c>
      <c r="G374" s="14" t="s">
        <v>14</v>
      </c>
    </row>
    <row r="375" spans="1:8" x14ac:dyDescent="0.35">
      <c r="A375" t="s">
        <v>286</v>
      </c>
      <c r="B375" t="s">
        <v>10</v>
      </c>
      <c r="C375" s="11" t="s">
        <v>249</v>
      </c>
      <c r="D375" s="1" t="s">
        <v>19</v>
      </c>
      <c r="E375" s="1" t="s">
        <v>13</v>
      </c>
      <c r="F375" s="1">
        <v>2.66</v>
      </c>
      <c r="G375" s="14" t="s">
        <v>14</v>
      </c>
    </row>
    <row r="376" spans="1:8" x14ac:dyDescent="0.35">
      <c r="A376" t="s">
        <v>286</v>
      </c>
      <c r="B376" t="s">
        <v>10</v>
      </c>
      <c r="C376" s="11" t="s">
        <v>249</v>
      </c>
      <c r="D376" s="1" t="s">
        <v>110</v>
      </c>
      <c r="E376" s="1" t="s">
        <v>13</v>
      </c>
      <c r="F376" s="1">
        <v>9.2799999999999994</v>
      </c>
      <c r="G376" s="14" t="s">
        <v>287</v>
      </c>
    </row>
    <row r="377" spans="1:8" x14ac:dyDescent="0.35">
      <c r="A377" t="s">
        <v>286</v>
      </c>
      <c r="B377" t="s">
        <v>10</v>
      </c>
      <c r="C377" s="11" t="s">
        <v>249</v>
      </c>
      <c r="D377" s="1" t="s">
        <v>33</v>
      </c>
      <c r="E377" s="1" t="s">
        <v>13</v>
      </c>
      <c r="F377" s="1">
        <v>7.52</v>
      </c>
      <c r="G377" s="14" t="s">
        <v>14</v>
      </c>
    </row>
    <row r="378" spans="1:8" x14ac:dyDescent="0.35">
      <c r="A378" t="s">
        <v>286</v>
      </c>
      <c r="B378" t="s">
        <v>10</v>
      </c>
      <c r="C378" s="11" t="s">
        <v>249</v>
      </c>
      <c r="D378" s="1" t="s">
        <v>114</v>
      </c>
      <c r="E378" s="1" t="s">
        <v>17</v>
      </c>
      <c r="F378" s="1" t="s">
        <v>14</v>
      </c>
      <c r="G378" s="14" t="s">
        <v>141</v>
      </c>
    </row>
    <row r="379" spans="1:8" x14ac:dyDescent="0.35">
      <c r="A379" t="s">
        <v>286</v>
      </c>
      <c r="B379" t="s">
        <v>10</v>
      </c>
      <c r="C379" s="11" t="s">
        <v>249</v>
      </c>
      <c r="D379" s="1" t="s">
        <v>36</v>
      </c>
      <c r="E379" s="1" t="s">
        <v>17</v>
      </c>
      <c r="F379" s="1" t="s">
        <v>14</v>
      </c>
      <c r="G379" s="14" t="s">
        <v>141</v>
      </c>
    </row>
    <row r="380" spans="1:8" x14ac:dyDescent="0.35">
      <c r="A380" t="s">
        <v>286</v>
      </c>
      <c r="B380" t="s">
        <v>271</v>
      </c>
      <c r="C380" s="11" t="s">
        <v>249</v>
      </c>
      <c r="D380" s="1" t="s">
        <v>33</v>
      </c>
      <c r="E380" s="1" t="s">
        <v>17</v>
      </c>
      <c r="F380" s="1" t="s">
        <v>14</v>
      </c>
      <c r="G380" s="14" t="s">
        <v>288</v>
      </c>
    </row>
    <row r="381" spans="1:8" x14ac:dyDescent="0.35">
      <c r="A381" t="s">
        <v>286</v>
      </c>
      <c r="B381" t="s">
        <v>18</v>
      </c>
      <c r="C381" s="11" t="s">
        <v>249</v>
      </c>
      <c r="D381" s="1" t="s">
        <v>222</v>
      </c>
      <c r="E381" s="1" t="s">
        <v>17</v>
      </c>
      <c r="F381" s="1" t="s">
        <v>14</v>
      </c>
      <c r="G381" s="14" t="s">
        <v>289</v>
      </c>
    </row>
    <row r="382" spans="1:8" x14ac:dyDescent="0.35">
      <c r="A382" t="s">
        <v>286</v>
      </c>
      <c r="B382" t="s">
        <v>18</v>
      </c>
      <c r="C382" s="11" t="s">
        <v>249</v>
      </c>
      <c r="D382" s="1" t="s">
        <v>40</v>
      </c>
      <c r="E382" s="1" t="s">
        <v>13</v>
      </c>
      <c r="F382" s="1">
        <v>20</v>
      </c>
    </row>
    <row r="383" spans="1:8" x14ac:dyDescent="0.35">
      <c r="A383" t="s">
        <v>286</v>
      </c>
      <c r="B383" t="s">
        <v>18</v>
      </c>
      <c r="C383" s="11" t="s">
        <v>249</v>
      </c>
      <c r="D383" s="1" t="s">
        <v>15</v>
      </c>
      <c r="E383" s="1" t="s">
        <v>17</v>
      </c>
      <c r="F383" s="1" t="s">
        <v>14</v>
      </c>
      <c r="G383" s="14" t="s">
        <v>155</v>
      </c>
    </row>
    <row r="384" spans="1:8" x14ac:dyDescent="0.35">
      <c r="A384" t="s">
        <v>286</v>
      </c>
      <c r="B384" t="s">
        <v>18</v>
      </c>
      <c r="C384" s="11" t="s">
        <v>249</v>
      </c>
      <c r="D384" s="1" t="s">
        <v>29</v>
      </c>
      <c r="E384" s="1" t="s">
        <v>13</v>
      </c>
      <c r="F384" s="1">
        <v>29.4</v>
      </c>
      <c r="G384" s="14" t="s">
        <v>14</v>
      </c>
    </row>
    <row r="385" spans="1:8" x14ac:dyDescent="0.35">
      <c r="A385" t="s">
        <v>286</v>
      </c>
      <c r="B385" t="s">
        <v>18</v>
      </c>
      <c r="C385" s="11" t="s">
        <v>249</v>
      </c>
      <c r="D385" s="1" t="s">
        <v>15</v>
      </c>
      <c r="E385" s="1" t="s">
        <v>13</v>
      </c>
      <c r="F385" s="1">
        <v>14.12</v>
      </c>
      <c r="G385" s="14" t="s">
        <v>14</v>
      </c>
    </row>
    <row r="386" spans="1:8" x14ac:dyDescent="0.35">
      <c r="A386" t="s">
        <v>286</v>
      </c>
      <c r="B386" t="s">
        <v>10</v>
      </c>
      <c r="C386" s="11" t="s">
        <v>249</v>
      </c>
      <c r="D386" s="1" t="s">
        <v>94</v>
      </c>
      <c r="E386" s="1" t="s">
        <v>17</v>
      </c>
      <c r="F386" s="1" t="s">
        <v>14</v>
      </c>
      <c r="G386" s="14" t="s">
        <v>290</v>
      </c>
    </row>
    <row r="387" spans="1:8" x14ac:dyDescent="0.35">
      <c r="A387" t="s">
        <v>286</v>
      </c>
      <c r="B387" t="s">
        <v>10</v>
      </c>
      <c r="C387" s="11" t="s">
        <v>249</v>
      </c>
      <c r="D387" s="1" t="s">
        <v>36</v>
      </c>
      <c r="E387" s="1" t="s">
        <v>13</v>
      </c>
      <c r="F387" s="1">
        <v>4.04</v>
      </c>
      <c r="G387" s="14" t="s">
        <v>14</v>
      </c>
    </row>
    <row r="388" spans="1:8" x14ac:dyDescent="0.35">
      <c r="A388" t="s">
        <v>291</v>
      </c>
      <c r="B388" t="s">
        <v>10</v>
      </c>
      <c r="C388" s="11" t="s">
        <v>249</v>
      </c>
      <c r="D388" s="1" t="s">
        <v>110</v>
      </c>
      <c r="E388" s="1" t="s">
        <v>13</v>
      </c>
      <c r="F388" s="1">
        <v>0.3</v>
      </c>
      <c r="G388" s="14" t="s">
        <v>100</v>
      </c>
    </row>
    <row r="389" spans="1:8" x14ac:dyDescent="0.35">
      <c r="A389" t="s">
        <v>291</v>
      </c>
      <c r="B389" t="s">
        <v>10</v>
      </c>
      <c r="C389" s="11" t="s">
        <v>249</v>
      </c>
      <c r="D389" s="1" t="s">
        <v>36</v>
      </c>
      <c r="E389" s="1" t="s">
        <v>13</v>
      </c>
      <c r="F389" s="1">
        <v>2.8</v>
      </c>
      <c r="G389" s="14" t="s">
        <v>292</v>
      </c>
    </row>
    <row r="390" spans="1:8" x14ac:dyDescent="0.35">
      <c r="A390" t="s">
        <v>291</v>
      </c>
      <c r="B390" t="s">
        <v>10</v>
      </c>
      <c r="C390" s="11" t="s">
        <v>249</v>
      </c>
      <c r="D390" s="1" t="s">
        <v>94</v>
      </c>
      <c r="E390" s="1" t="s">
        <v>13</v>
      </c>
      <c r="F390" s="1">
        <v>9.6300000000000008</v>
      </c>
      <c r="G390" s="14" t="s">
        <v>14</v>
      </c>
    </row>
    <row r="391" spans="1:8" x14ac:dyDescent="0.35">
      <c r="A391" t="s">
        <v>291</v>
      </c>
      <c r="B391" t="s">
        <v>10</v>
      </c>
      <c r="C391" s="11" t="s">
        <v>249</v>
      </c>
      <c r="D391" s="1" t="s">
        <v>33</v>
      </c>
      <c r="E391" s="1" t="s">
        <v>13</v>
      </c>
      <c r="F391" s="1">
        <v>12.53</v>
      </c>
      <c r="G391" s="14" t="s">
        <v>14</v>
      </c>
    </row>
    <row r="392" spans="1:8" x14ac:dyDescent="0.35">
      <c r="A392" t="s">
        <v>291</v>
      </c>
      <c r="B392" t="s">
        <v>10</v>
      </c>
      <c r="C392" s="11" t="s">
        <v>249</v>
      </c>
      <c r="D392" s="1" t="s">
        <v>114</v>
      </c>
      <c r="E392" s="1" t="s">
        <v>13</v>
      </c>
      <c r="F392" s="1">
        <v>5.76</v>
      </c>
      <c r="G392" s="14" t="s">
        <v>14</v>
      </c>
    </row>
    <row r="393" spans="1:8" x14ac:dyDescent="0.35">
      <c r="A393" t="s">
        <v>291</v>
      </c>
      <c r="B393" t="s">
        <v>271</v>
      </c>
      <c r="C393" s="11" t="s">
        <v>249</v>
      </c>
      <c r="D393" s="1" t="s">
        <v>33</v>
      </c>
      <c r="E393" s="1" t="s">
        <v>17</v>
      </c>
      <c r="F393" s="1" t="s">
        <v>14</v>
      </c>
      <c r="G393" s="14" t="s">
        <v>293</v>
      </c>
      <c r="H393" t="s">
        <v>189</v>
      </c>
    </row>
    <row r="394" spans="1:8" x14ac:dyDescent="0.35">
      <c r="A394" t="s">
        <v>291</v>
      </c>
      <c r="B394" t="s">
        <v>271</v>
      </c>
      <c r="C394" s="11" t="s">
        <v>249</v>
      </c>
      <c r="D394" s="1" t="s">
        <v>36</v>
      </c>
      <c r="E394" s="1" t="s">
        <v>17</v>
      </c>
      <c r="F394" s="1" t="s">
        <v>14</v>
      </c>
      <c r="G394" s="14" t="s">
        <v>141</v>
      </c>
      <c r="H394" t="s">
        <v>190</v>
      </c>
    </row>
    <row r="395" spans="1:8" x14ac:dyDescent="0.35">
      <c r="A395" t="s">
        <v>291</v>
      </c>
      <c r="B395" t="s">
        <v>271</v>
      </c>
      <c r="C395" s="11" t="s">
        <v>249</v>
      </c>
      <c r="D395" s="1" t="s">
        <v>110</v>
      </c>
      <c r="E395" s="1" t="s">
        <v>17</v>
      </c>
      <c r="F395" s="1" t="s">
        <v>14</v>
      </c>
      <c r="G395" s="14" t="s">
        <v>294</v>
      </c>
      <c r="H395" t="s">
        <v>194</v>
      </c>
    </row>
    <row r="396" spans="1:8" x14ac:dyDescent="0.35">
      <c r="A396" t="s">
        <v>291</v>
      </c>
      <c r="B396" t="s">
        <v>18</v>
      </c>
      <c r="C396" s="11" t="s">
        <v>249</v>
      </c>
      <c r="D396" s="1" t="s">
        <v>40</v>
      </c>
      <c r="E396" s="1" t="s">
        <v>17</v>
      </c>
      <c r="F396" s="1" t="s">
        <v>14</v>
      </c>
      <c r="G396" s="14" t="s">
        <v>141</v>
      </c>
      <c r="H396" t="s">
        <v>190</v>
      </c>
    </row>
    <row r="397" spans="1:8" x14ac:dyDescent="0.35">
      <c r="A397" t="s">
        <v>291</v>
      </c>
      <c r="B397" t="s">
        <v>18</v>
      </c>
      <c r="C397" s="11" t="s">
        <v>249</v>
      </c>
      <c r="D397" s="1" t="s">
        <v>12</v>
      </c>
      <c r="E397" s="1" t="s">
        <v>13</v>
      </c>
      <c r="F397" s="1">
        <v>3.19</v>
      </c>
      <c r="G397" s="14" t="s">
        <v>14</v>
      </c>
    </row>
    <row r="398" spans="1:8" x14ac:dyDescent="0.35">
      <c r="A398" t="s">
        <v>291</v>
      </c>
      <c r="B398" t="s">
        <v>18</v>
      </c>
      <c r="C398" s="11" t="s">
        <v>249</v>
      </c>
      <c r="D398" s="1" t="s">
        <v>24</v>
      </c>
      <c r="E398" s="1" t="s">
        <v>13</v>
      </c>
      <c r="F398" s="1">
        <v>7.48</v>
      </c>
      <c r="G398" s="14" t="s">
        <v>295</v>
      </c>
    </row>
    <row r="399" spans="1:8" x14ac:dyDescent="0.35">
      <c r="A399" t="s">
        <v>291</v>
      </c>
      <c r="B399" t="s">
        <v>18</v>
      </c>
      <c r="C399" s="11" t="s">
        <v>249</v>
      </c>
      <c r="D399" s="1" t="s">
        <v>40</v>
      </c>
      <c r="E399" s="1" t="s">
        <v>17</v>
      </c>
      <c r="F399" s="1" t="s">
        <v>14</v>
      </c>
      <c r="G399" s="14" t="s">
        <v>141</v>
      </c>
      <c r="H399" t="s">
        <v>190</v>
      </c>
    </row>
    <row r="400" spans="1:8" ht="15.65" customHeight="1" x14ac:dyDescent="0.35">
      <c r="A400" t="s">
        <v>291</v>
      </c>
      <c r="B400" s="7" t="s">
        <v>18</v>
      </c>
      <c r="C400" s="11" t="s">
        <v>301</v>
      </c>
      <c r="D400" s="8" t="s">
        <v>296</v>
      </c>
      <c r="E400" s="8" t="s">
        <v>13</v>
      </c>
      <c r="F400" s="8">
        <v>1.85</v>
      </c>
      <c r="G400" s="14" t="s">
        <v>297</v>
      </c>
    </row>
    <row r="401" spans="1:8" x14ac:dyDescent="0.35">
      <c r="A401" t="s">
        <v>291</v>
      </c>
      <c r="B401" s="7" t="s">
        <v>18</v>
      </c>
      <c r="C401" s="11" t="s">
        <v>301</v>
      </c>
      <c r="D401" s="8" t="s">
        <v>144</v>
      </c>
      <c r="E401" s="8" t="s">
        <v>13</v>
      </c>
      <c r="F401" s="8">
        <v>1.28</v>
      </c>
    </row>
    <row r="402" spans="1:8" x14ac:dyDescent="0.35">
      <c r="A402" t="s">
        <v>291</v>
      </c>
      <c r="B402" s="7" t="s">
        <v>271</v>
      </c>
      <c r="C402" s="11" t="s">
        <v>301</v>
      </c>
      <c r="D402" s="8" t="s">
        <v>298</v>
      </c>
      <c r="E402" s="8" t="s">
        <v>13</v>
      </c>
      <c r="F402" s="8">
        <v>2.72</v>
      </c>
    </row>
    <row r="403" spans="1:8" ht="15.65" customHeight="1" x14ac:dyDescent="0.35">
      <c r="A403" t="s">
        <v>291</v>
      </c>
      <c r="B403" s="7" t="s">
        <v>10</v>
      </c>
      <c r="C403" s="11" t="s">
        <v>301</v>
      </c>
      <c r="D403" s="8" t="s">
        <v>299</v>
      </c>
      <c r="E403" s="8" t="s">
        <v>17</v>
      </c>
      <c r="F403" s="8"/>
      <c r="G403" s="14" t="s">
        <v>300</v>
      </c>
      <c r="H403" t="s">
        <v>191</v>
      </c>
    </row>
    <row r="404" spans="1:8" x14ac:dyDescent="0.35">
      <c r="A404" t="s">
        <v>315</v>
      </c>
      <c r="B404" s="7" t="s">
        <v>18</v>
      </c>
      <c r="C404" s="11" t="s">
        <v>304</v>
      </c>
      <c r="D404" s="8" t="s">
        <v>169</v>
      </c>
      <c r="E404" s="8" t="s">
        <v>17</v>
      </c>
      <c r="F404" s="8"/>
      <c r="G404" s="14" t="s">
        <v>302</v>
      </c>
      <c r="H404" t="s">
        <v>191</v>
      </c>
    </row>
    <row r="405" spans="1:8" x14ac:dyDescent="0.35">
      <c r="A405" t="s">
        <v>315</v>
      </c>
      <c r="B405" s="7" t="s">
        <v>18</v>
      </c>
      <c r="C405" s="11" t="s">
        <v>304</v>
      </c>
      <c r="D405" s="8" t="s">
        <v>225</v>
      </c>
      <c r="E405" s="8" t="s">
        <v>13</v>
      </c>
      <c r="F405" s="8">
        <v>4.8099999999999996</v>
      </c>
    </row>
    <row r="406" spans="1:8" x14ac:dyDescent="0.35">
      <c r="A406" t="s">
        <v>315</v>
      </c>
      <c r="B406" s="7" t="s">
        <v>18</v>
      </c>
      <c r="C406" s="11" t="s">
        <v>304</v>
      </c>
      <c r="D406" s="8" t="s">
        <v>124</v>
      </c>
      <c r="E406" s="8" t="s">
        <v>13</v>
      </c>
      <c r="F406" s="8">
        <v>1.86</v>
      </c>
    </row>
    <row r="407" spans="1:8" ht="15.75" customHeight="1" x14ac:dyDescent="0.35">
      <c r="A407" t="s">
        <v>315</v>
      </c>
      <c r="B407" s="7" t="s">
        <v>18</v>
      </c>
      <c r="C407" s="11" t="s">
        <v>304</v>
      </c>
      <c r="D407" s="8" t="s">
        <v>225</v>
      </c>
      <c r="E407" s="8" t="s">
        <v>13</v>
      </c>
      <c r="F407" s="8">
        <v>0.04</v>
      </c>
      <c r="G407" s="14" t="s">
        <v>303</v>
      </c>
    </row>
    <row r="408" spans="1:8" x14ac:dyDescent="0.35">
      <c r="A408" t="s">
        <v>315</v>
      </c>
      <c r="B408" s="7" t="s">
        <v>10</v>
      </c>
      <c r="C408" s="11" t="s">
        <v>304</v>
      </c>
      <c r="D408" s="8" t="s">
        <v>157</v>
      </c>
      <c r="E408" s="8" t="s">
        <v>13</v>
      </c>
      <c r="F408" s="8">
        <v>5.15</v>
      </c>
    </row>
    <row r="409" spans="1:8" x14ac:dyDescent="0.35">
      <c r="A409" t="s">
        <v>315</v>
      </c>
      <c r="B409" s="7" t="s">
        <v>271</v>
      </c>
      <c r="C409" s="11" t="s">
        <v>304</v>
      </c>
      <c r="D409" s="8">
        <v>2</v>
      </c>
      <c r="E409" s="8" t="s">
        <v>13</v>
      </c>
      <c r="F409" s="8">
        <v>4.49</v>
      </c>
    </row>
    <row r="410" spans="1:8" x14ac:dyDescent="0.35">
      <c r="A410" t="s">
        <v>316</v>
      </c>
      <c r="B410" t="s">
        <v>18</v>
      </c>
      <c r="C410" s="11" t="s">
        <v>304</v>
      </c>
      <c r="D410" s="1" t="s">
        <v>124</v>
      </c>
      <c r="E410" s="11" t="s">
        <v>13</v>
      </c>
      <c r="F410" s="1">
        <v>1.01</v>
      </c>
    </row>
    <row r="411" spans="1:8" x14ac:dyDescent="0.35">
      <c r="A411" t="s">
        <v>316</v>
      </c>
      <c r="B411" t="s">
        <v>18</v>
      </c>
      <c r="C411" s="11" t="s">
        <v>304</v>
      </c>
      <c r="D411" s="1" t="s">
        <v>225</v>
      </c>
      <c r="E411" s="11" t="s">
        <v>17</v>
      </c>
      <c r="G411" s="14" t="s">
        <v>305</v>
      </c>
      <c r="H411" t="s">
        <v>193</v>
      </c>
    </row>
    <row r="412" spans="1:8" x14ac:dyDescent="0.35">
      <c r="A412" t="s">
        <v>316</v>
      </c>
      <c r="B412" t="s">
        <v>18</v>
      </c>
      <c r="C412" s="11" t="s">
        <v>304</v>
      </c>
      <c r="D412" s="1" t="s">
        <v>125</v>
      </c>
      <c r="E412" s="11" t="s">
        <v>13</v>
      </c>
      <c r="F412" s="1">
        <v>0.67</v>
      </c>
    </row>
    <row r="413" spans="1:8" x14ac:dyDescent="0.35">
      <c r="A413" t="s">
        <v>316</v>
      </c>
      <c r="B413" t="s">
        <v>18</v>
      </c>
      <c r="C413" s="11" t="s">
        <v>304</v>
      </c>
      <c r="D413" s="1" t="s">
        <v>122</v>
      </c>
      <c r="E413" s="11" t="s">
        <v>13</v>
      </c>
      <c r="F413" s="1">
        <v>1.95</v>
      </c>
    </row>
    <row r="414" spans="1:8" x14ac:dyDescent="0.35">
      <c r="A414" t="s">
        <v>316</v>
      </c>
      <c r="B414" t="s">
        <v>18</v>
      </c>
      <c r="C414" s="11" t="s">
        <v>304</v>
      </c>
      <c r="D414" s="1" t="s">
        <v>170</v>
      </c>
      <c r="E414" s="11" t="s">
        <v>17</v>
      </c>
      <c r="G414" s="14" t="s">
        <v>182</v>
      </c>
      <c r="H414" t="s">
        <v>191</v>
      </c>
    </row>
    <row r="415" spans="1:8" x14ac:dyDescent="0.35">
      <c r="A415" t="s">
        <v>316</v>
      </c>
      <c r="B415" t="s">
        <v>10</v>
      </c>
      <c r="C415" s="11" t="s">
        <v>304</v>
      </c>
      <c r="D415" s="1" t="s">
        <v>306</v>
      </c>
      <c r="E415" s="11" t="s">
        <v>17</v>
      </c>
      <c r="G415" s="14" t="s">
        <v>182</v>
      </c>
      <c r="H415" t="s">
        <v>191</v>
      </c>
    </row>
    <row r="416" spans="1:8" x14ac:dyDescent="0.35">
      <c r="A416" t="s">
        <v>316</v>
      </c>
      <c r="B416" t="s">
        <v>10</v>
      </c>
      <c r="C416" s="11" t="s">
        <v>304</v>
      </c>
      <c r="D416" s="1" t="s">
        <v>175</v>
      </c>
      <c r="E416" s="11" t="s">
        <v>13</v>
      </c>
      <c r="F416" s="1">
        <v>2.42</v>
      </c>
    </row>
    <row r="417" spans="1:8" x14ac:dyDescent="0.35">
      <c r="A417" t="s">
        <v>316</v>
      </c>
      <c r="B417" t="s">
        <v>271</v>
      </c>
      <c r="C417" s="11" t="s">
        <v>304</v>
      </c>
      <c r="D417" s="1" t="s">
        <v>307</v>
      </c>
      <c r="E417" s="11" t="s">
        <v>13</v>
      </c>
      <c r="F417" s="1">
        <v>5.52</v>
      </c>
    </row>
    <row r="418" spans="1:8" x14ac:dyDescent="0.35">
      <c r="A418" t="s">
        <v>317</v>
      </c>
      <c r="B418" t="s">
        <v>271</v>
      </c>
      <c r="C418" s="9" t="s">
        <v>314</v>
      </c>
      <c r="D418" s="1" t="s">
        <v>308</v>
      </c>
      <c r="E418" s="11" t="s">
        <v>17</v>
      </c>
      <c r="G418" s="14" t="s">
        <v>165</v>
      </c>
      <c r="H418" t="s">
        <v>194</v>
      </c>
    </row>
    <row r="419" spans="1:8" x14ac:dyDescent="0.35">
      <c r="A419" t="s">
        <v>317</v>
      </c>
      <c r="B419" t="s">
        <v>10</v>
      </c>
      <c r="C419" s="9" t="s">
        <v>314</v>
      </c>
      <c r="D419" s="1" t="s">
        <v>309</v>
      </c>
      <c r="E419" s="11" t="s">
        <v>13</v>
      </c>
      <c r="F419" s="1">
        <v>3.36</v>
      </c>
      <c r="G419" s="14" t="s">
        <v>310</v>
      </c>
    </row>
    <row r="420" spans="1:8" x14ac:dyDescent="0.35">
      <c r="A420" t="s">
        <v>317</v>
      </c>
      <c r="B420" t="s">
        <v>18</v>
      </c>
      <c r="C420" s="9" t="s">
        <v>314</v>
      </c>
      <c r="D420" s="1" t="s">
        <v>144</v>
      </c>
      <c r="E420" s="11" t="s">
        <v>13</v>
      </c>
      <c r="F420" s="1">
        <v>2.25</v>
      </c>
    </row>
    <row r="421" spans="1:8" x14ac:dyDescent="0.35">
      <c r="A421" t="s">
        <v>317</v>
      </c>
      <c r="B421" t="s">
        <v>18</v>
      </c>
      <c r="C421" s="9" t="s">
        <v>314</v>
      </c>
      <c r="D421" s="1" t="s">
        <v>129</v>
      </c>
      <c r="E421" s="11" t="s">
        <v>13</v>
      </c>
      <c r="F421" s="1">
        <v>3.61</v>
      </c>
      <c r="G421" s="14" t="s">
        <v>311</v>
      </c>
    </row>
    <row r="422" spans="1:8" x14ac:dyDescent="0.35">
      <c r="A422" t="s">
        <v>317</v>
      </c>
      <c r="B422" t="s">
        <v>18</v>
      </c>
      <c r="C422" s="9" t="s">
        <v>314</v>
      </c>
      <c r="D422" s="1" t="s">
        <v>312</v>
      </c>
      <c r="E422" s="11" t="s">
        <v>17</v>
      </c>
      <c r="G422" s="14" t="s">
        <v>313</v>
      </c>
      <c r="H422" t="s">
        <v>193</v>
      </c>
    </row>
    <row r="423" spans="1:8" x14ac:dyDescent="0.35">
      <c r="A423" t="s">
        <v>328</v>
      </c>
      <c r="B423" t="s">
        <v>18</v>
      </c>
      <c r="C423" s="9" t="s">
        <v>332</v>
      </c>
      <c r="D423" s="1" t="s">
        <v>40</v>
      </c>
      <c r="E423" s="1" t="s">
        <v>17</v>
      </c>
      <c r="F423" s="1" t="s">
        <v>14</v>
      </c>
      <c r="G423" s="14" t="s">
        <v>141</v>
      </c>
      <c r="H423" t="s">
        <v>190</v>
      </c>
    </row>
    <row r="424" spans="1:8" x14ac:dyDescent="0.35">
      <c r="A424" t="s">
        <v>328</v>
      </c>
      <c r="B424" t="s">
        <v>18</v>
      </c>
      <c r="C424" s="9" t="s">
        <v>332</v>
      </c>
      <c r="D424" s="1" t="s">
        <v>96</v>
      </c>
      <c r="E424" s="1" t="s">
        <v>17</v>
      </c>
      <c r="F424" s="1" t="s">
        <v>14</v>
      </c>
      <c r="G424" s="14" t="s">
        <v>141</v>
      </c>
      <c r="H424" t="s">
        <v>190</v>
      </c>
    </row>
    <row r="425" spans="1:8" x14ac:dyDescent="0.35">
      <c r="A425" t="s">
        <v>328</v>
      </c>
      <c r="B425" t="s">
        <v>10</v>
      </c>
      <c r="C425" s="9" t="s">
        <v>332</v>
      </c>
      <c r="D425" s="1" t="s">
        <v>34</v>
      </c>
      <c r="E425" s="1" t="s">
        <v>13</v>
      </c>
      <c r="F425" s="1">
        <v>5.32</v>
      </c>
      <c r="G425" s="14" t="s">
        <v>329</v>
      </c>
    </row>
    <row r="426" spans="1:8" x14ac:dyDescent="0.35">
      <c r="A426" t="s">
        <v>328</v>
      </c>
      <c r="B426" t="s">
        <v>18</v>
      </c>
      <c r="C426" s="9" t="s">
        <v>332</v>
      </c>
      <c r="D426" s="1" t="s">
        <v>40</v>
      </c>
      <c r="E426" s="1" t="s">
        <v>13</v>
      </c>
      <c r="F426" s="1">
        <v>4.97</v>
      </c>
      <c r="G426" s="14" t="s">
        <v>330</v>
      </c>
    </row>
    <row r="427" spans="1:8" x14ac:dyDescent="0.35">
      <c r="A427" t="s">
        <v>328</v>
      </c>
      <c r="B427" t="s">
        <v>18</v>
      </c>
      <c r="C427" s="9" t="s">
        <v>332</v>
      </c>
      <c r="D427" s="1" t="s">
        <v>96</v>
      </c>
      <c r="E427" s="1" t="s">
        <v>13</v>
      </c>
      <c r="F427" s="1">
        <v>10.32</v>
      </c>
      <c r="G427" s="14" t="s">
        <v>331</v>
      </c>
    </row>
    <row r="428" spans="1:8" x14ac:dyDescent="0.35">
      <c r="A428" t="s">
        <v>333</v>
      </c>
      <c r="B428" t="s">
        <v>10</v>
      </c>
      <c r="C428" s="11" t="s">
        <v>334</v>
      </c>
      <c r="D428" s="1" t="s">
        <v>37</v>
      </c>
      <c r="E428" s="1" t="s">
        <v>17</v>
      </c>
      <c r="F428" s="1" t="s">
        <v>14</v>
      </c>
      <c r="G428" s="14" t="s">
        <v>335</v>
      </c>
      <c r="H428" t="s">
        <v>189</v>
      </c>
    </row>
    <row r="429" spans="1:8" x14ac:dyDescent="0.35">
      <c r="A429" t="s">
        <v>333</v>
      </c>
      <c r="B429" t="s">
        <v>10</v>
      </c>
      <c r="C429" s="11" t="s">
        <v>334</v>
      </c>
      <c r="D429" s="1" t="s">
        <v>24</v>
      </c>
      <c r="E429" s="1" t="s">
        <v>13</v>
      </c>
      <c r="F429" s="1">
        <v>5.78</v>
      </c>
      <c r="G429" s="14" t="s">
        <v>14</v>
      </c>
    </row>
    <row r="430" spans="1:8" x14ac:dyDescent="0.35">
      <c r="A430" t="s">
        <v>333</v>
      </c>
      <c r="B430" t="s">
        <v>10</v>
      </c>
      <c r="C430" s="11" t="s">
        <v>334</v>
      </c>
      <c r="D430" s="1" t="s">
        <v>266</v>
      </c>
      <c r="E430" s="1" t="s">
        <v>17</v>
      </c>
      <c r="F430" s="1" t="s">
        <v>14</v>
      </c>
      <c r="G430" s="14" t="s">
        <v>141</v>
      </c>
      <c r="H430" t="s">
        <v>190</v>
      </c>
    </row>
    <row r="431" spans="1:8" x14ac:dyDescent="0.35">
      <c r="A431" t="s">
        <v>333</v>
      </c>
      <c r="B431" t="s">
        <v>10</v>
      </c>
      <c r="C431" s="11" t="s">
        <v>334</v>
      </c>
      <c r="D431" s="1" t="s">
        <v>12</v>
      </c>
      <c r="E431" s="1" t="s">
        <v>17</v>
      </c>
      <c r="F431" s="1" t="s">
        <v>14</v>
      </c>
      <c r="G431" s="14" t="s">
        <v>100</v>
      </c>
      <c r="H431" t="s">
        <v>189</v>
      </c>
    </row>
    <row r="432" spans="1:8" x14ac:dyDescent="0.35">
      <c r="A432" t="s">
        <v>333</v>
      </c>
      <c r="B432" t="s">
        <v>271</v>
      </c>
      <c r="C432" s="11" t="s">
        <v>334</v>
      </c>
      <c r="D432" s="1" t="s">
        <v>19</v>
      </c>
      <c r="E432" s="1" t="s">
        <v>17</v>
      </c>
      <c r="F432" s="1" t="s">
        <v>14</v>
      </c>
      <c r="G432" s="14" t="s">
        <v>141</v>
      </c>
      <c r="H432" t="s">
        <v>190</v>
      </c>
    </row>
    <row r="433" spans="1:8" x14ac:dyDescent="0.35">
      <c r="A433" t="s">
        <v>333</v>
      </c>
      <c r="B433" t="s">
        <v>271</v>
      </c>
      <c r="C433" s="11" t="s">
        <v>334</v>
      </c>
      <c r="D433" s="1" t="s">
        <v>336</v>
      </c>
      <c r="E433" s="1" t="s">
        <v>17</v>
      </c>
      <c r="F433" s="1" t="s">
        <v>14</v>
      </c>
      <c r="G433" s="14" t="s">
        <v>337</v>
      </c>
      <c r="H433" t="s">
        <v>189</v>
      </c>
    </row>
    <row r="434" spans="1:8" x14ac:dyDescent="0.35">
      <c r="A434" t="s">
        <v>333</v>
      </c>
      <c r="B434" t="s">
        <v>271</v>
      </c>
      <c r="C434" s="11" t="s">
        <v>334</v>
      </c>
      <c r="D434" s="1" t="s">
        <v>338</v>
      </c>
      <c r="E434" s="1" t="s">
        <v>13</v>
      </c>
      <c r="F434" s="1">
        <v>9.36</v>
      </c>
      <c r="G434" s="14" t="s">
        <v>14</v>
      </c>
    </row>
    <row r="435" spans="1:8" x14ac:dyDescent="0.35">
      <c r="A435" t="s">
        <v>333</v>
      </c>
      <c r="B435" t="s">
        <v>18</v>
      </c>
      <c r="C435" s="11" t="s">
        <v>334</v>
      </c>
      <c r="D435" s="1" t="s">
        <v>40</v>
      </c>
      <c r="E435" s="1" t="s">
        <v>17</v>
      </c>
      <c r="F435" s="1" t="s">
        <v>14</v>
      </c>
      <c r="G435" s="14" t="s">
        <v>27</v>
      </c>
      <c r="H435" t="s">
        <v>189</v>
      </c>
    </row>
    <row r="436" spans="1:8" x14ac:dyDescent="0.35">
      <c r="A436" t="s">
        <v>333</v>
      </c>
      <c r="B436" t="s">
        <v>18</v>
      </c>
      <c r="C436" s="11" t="s">
        <v>334</v>
      </c>
      <c r="D436" s="1" t="s">
        <v>96</v>
      </c>
      <c r="E436" s="1" t="s">
        <v>13</v>
      </c>
      <c r="F436" s="1">
        <v>6.8</v>
      </c>
      <c r="G436" s="14" t="s">
        <v>339</v>
      </c>
    </row>
    <row r="437" spans="1:8" x14ac:dyDescent="0.35">
      <c r="A437" t="s">
        <v>333</v>
      </c>
      <c r="B437" t="s">
        <v>10</v>
      </c>
      <c r="C437" s="9" t="s">
        <v>340</v>
      </c>
      <c r="D437" s="1">
        <v>31</v>
      </c>
      <c r="E437" s="11" t="s">
        <v>13</v>
      </c>
      <c r="F437" s="1">
        <v>5</v>
      </c>
      <c r="G437" s="14" t="s">
        <v>341</v>
      </c>
    </row>
    <row r="438" spans="1:8" x14ac:dyDescent="0.35">
      <c r="A438" t="s">
        <v>353</v>
      </c>
      <c r="B438" t="s">
        <v>18</v>
      </c>
      <c r="C438" s="11" t="s">
        <v>354</v>
      </c>
      <c r="D438" s="1" t="s">
        <v>40</v>
      </c>
      <c r="E438" s="1" t="s">
        <v>13</v>
      </c>
      <c r="F438" s="1">
        <v>14.49</v>
      </c>
      <c r="G438" t="s">
        <v>355</v>
      </c>
    </row>
    <row r="439" spans="1:8" x14ac:dyDescent="0.35">
      <c r="A439" t="s">
        <v>353</v>
      </c>
      <c r="B439" t="s">
        <v>18</v>
      </c>
      <c r="C439" s="11" t="s">
        <v>354</v>
      </c>
      <c r="D439" s="1" t="s">
        <v>29</v>
      </c>
      <c r="E439" s="1" t="s">
        <v>13</v>
      </c>
      <c r="F439" s="1">
        <v>4.72</v>
      </c>
      <c r="G439" t="s">
        <v>356</v>
      </c>
    </row>
    <row r="440" spans="1:8" x14ac:dyDescent="0.35">
      <c r="A440" t="s">
        <v>353</v>
      </c>
      <c r="B440" t="s">
        <v>10</v>
      </c>
      <c r="C440" s="11" t="s">
        <v>354</v>
      </c>
      <c r="D440" s="1" t="s">
        <v>37</v>
      </c>
      <c r="E440" s="1" t="s">
        <v>13</v>
      </c>
      <c r="F440" s="1">
        <v>2.74</v>
      </c>
      <c r="G440" t="s">
        <v>14</v>
      </c>
    </row>
    <row r="441" spans="1:8" x14ac:dyDescent="0.35">
      <c r="A441" t="s">
        <v>353</v>
      </c>
      <c r="B441" t="s">
        <v>10</v>
      </c>
      <c r="C441" s="11" t="s">
        <v>354</v>
      </c>
      <c r="D441" s="1" t="s">
        <v>24</v>
      </c>
      <c r="E441" s="1" t="s">
        <v>13</v>
      </c>
      <c r="F441" s="1">
        <v>4.2</v>
      </c>
      <c r="G441"/>
    </row>
    <row r="442" spans="1:8" x14ac:dyDescent="0.35">
      <c r="A442" t="s">
        <v>353</v>
      </c>
      <c r="B442" t="s">
        <v>271</v>
      </c>
      <c r="C442" s="11" t="s">
        <v>354</v>
      </c>
      <c r="D442" s="1" t="s">
        <v>151</v>
      </c>
      <c r="E442" s="1" t="s">
        <v>13</v>
      </c>
      <c r="F442" s="1">
        <v>6.34</v>
      </c>
      <c r="G442" t="s">
        <v>14</v>
      </c>
    </row>
    <row r="443" spans="1:8" x14ac:dyDescent="0.35">
      <c r="A443" t="s">
        <v>353</v>
      </c>
      <c r="B443" t="s">
        <v>271</v>
      </c>
      <c r="C443" s="11" t="s">
        <v>354</v>
      </c>
      <c r="D443" s="1" t="s">
        <v>338</v>
      </c>
      <c r="E443" s="1" t="s">
        <v>13</v>
      </c>
      <c r="F443" s="1">
        <v>11.44</v>
      </c>
      <c r="G443" t="s">
        <v>14</v>
      </c>
    </row>
    <row r="444" spans="1:8" x14ac:dyDescent="0.35">
      <c r="A444" s="16">
        <v>46296</v>
      </c>
      <c r="B444" t="s">
        <v>10</v>
      </c>
      <c r="C444" s="9" t="s">
        <v>304</v>
      </c>
      <c r="D444" s="1" t="s">
        <v>177</v>
      </c>
      <c r="E444" s="11" t="s">
        <v>13</v>
      </c>
      <c r="F444" s="1">
        <v>6.08</v>
      </c>
    </row>
    <row r="445" spans="1:8" x14ac:dyDescent="0.35">
      <c r="A445" s="16">
        <v>46296</v>
      </c>
      <c r="B445" t="s">
        <v>10</v>
      </c>
      <c r="C445" s="9" t="s">
        <v>304</v>
      </c>
      <c r="D445" s="1" t="s">
        <v>360</v>
      </c>
      <c r="E445" s="11" t="s">
        <v>13</v>
      </c>
      <c r="F445" s="1">
        <v>2.61</v>
      </c>
    </row>
    <row r="446" spans="1:8" x14ac:dyDescent="0.35">
      <c r="A446" s="16">
        <v>46296</v>
      </c>
      <c r="B446" t="s">
        <v>10</v>
      </c>
      <c r="C446" s="9" t="s">
        <v>304</v>
      </c>
      <c r="D446" s="1" t="s">
        <v>361</v>
      </c>
      <c r="E446" s="11" t="s">
        <v>17</v>
      </c>
      <c r="G446" s="14" t="s">
        <v>182</v>
      </c>
      <c r="H446" t="s">
        <v>191</v>
      </c>
    </row>
    <row r="447" spans="1:8" x14ac:dyDescent="0.35">
      <c r="A447" s="16">
        <v>46296</v>
      </c>
      <c r="B447" t="s">
        <v>10</v>
      </c>
      <c r="C447" s="9" t="s">
        <v>304</v>
      </c>
      <c r="D447" s="1" t="s">
        <v>157</v>
      </c>
      <c r="E447" s="11" t="s">
        <v>13</v>
      </c>
      <c r="F447" s="1">
        <v>5.01</v>
      </c>
    </row>
    <row r="448" spans="1:8" x14ac:dyDescent="0.35">
      <c r="A448" s="16">
        <v>46296</v>
      </c>
      <c r="B448" t="s">
        <v>10</v>
      </c>
      <c r="C448" s="9" t="s">
        <v>304</v>
      </c>
      <c r="D448" s="1" t="s">
        <v>175</v>
      </c>
      <c r="E448" s="11" t="s">
        <v>13</v>
      </c>
      <c r="F448" s="1">
        <v>1.78</v>
      </c>
    </row>
    <row r="449" spans="1:8" x14ac:dyDescent="0.35">
      <c r="A449" s="16">
        <v>46296</v>
      </c>
      <c r="B449" t="s">
        <v>10</v>
      </c>
      <c r="C449" s="9" t="s">
        <v>304</v>
      </c>
      <c r="D449" s="1" t="s">
        <v>253</v>
      </c>
      <c r="E449" s="11" t="s">
        <v>17</v>
      </c>
      <c r="G449" s="14" t="s">
        <v>362</v>
      </c>
      <c r="H449" t="s">
        <v>190</v>
      </c>
    </row>
    <row r="450" spans="1:8" x14ac:dyDescent="0.35">
      <c r="A450" s="16">
        <v>46296</v>
      </c>
      <c r="B450" t="s">
        <v>10</v>
      </c>
      <c r="C450" s="9" t="s">
        <v>304</v>
      </c>
      <c r="D450" s="1" t="s">
        <v>167</v>
      </c>
      <c r="E450" s="11" t="s">
        <v>17</v>
      </c>
      <c r="G450" s="14" t="s">
        <v>363</v>
      </c>
      <c r="H450" t="s">
        <v>190</v>
      </c>
    </row>
    <row r="451" spans="1:8" x14ac:dyDescent="0.35">
      <c r="A451" s="16">
        <v>46296</v>
      </c>
      <c r="B451" t="s">
        <v>271</v>
      </c>
      <c r="C451" s="9" t="s">
        <v>304</v>
      </c>
      <c r="D451" s="1">
        <v>8</v>
      </c>
      <c r="E451" s="11" t="s">
        <v>13</v>
      </c>
      <c r="F451" s="1">
        <v>0.48</v>
      </c>
    </row>
    <row r="452" spans="1:8" x14ac:dyDescent="0.35">
      <c r="A452" s="16">
        <v>46296</v>
      </c>
      <c r="B452" t="s">
        <v>18</v>
      </c>
      <c r="C452" s="9" t="s">
        <v>304</v>
      </c>
      <c r="D452" s="1" t="s">
        <v>124</v>
      </c>
      <c r="E452" s="11" t="s">
        <v>13</v>
      </c>
      <c r="F452" s="1">
        <v>1.1200000000000001</v>
      </c>
    </row>
    <row r="453" spans="1:8" x14ac:dyDescent="0.35">
      <c r="A453" s="16">
        <v>46297</v>
      </c>
      <c r="B453" t="s">
        <v>18</v>
      </c>
      <c r="C453" s="9" t="s">
        <v>268</v>
      </c>
      <c r="D453" s="1" t="s">
        <v>124</v>
      </c>
      <c r="E453" s="11" t="s">
        <v>17</v>
      </c>
      <c r="G453" s="14" t="s">
        <v>364</v>
      </c>
      <c r="H453" t="s">
        <v>189</v>
      </c>
    </row>
    <row r="454" spans="1:8" x14ac:dyDescent="0.35">
      <c r="A454" s="16">
        <v>46297</v>
      </c>
      <c r="B454" t="s">
        <v>10</v>
      </c>
      <c r="C454" s="9" t="s">
        <v>268</v>
      </c>
      <c r="D454" s="1" t="s">
        <v>253</v>
      </c>
      <c r="E454" s="11" t="s">
        <v>17</v>
      </c>
      <c r="G454" s="14" t="s">
        <v>364</v>
      </c>
      <c r="H454" t="s">
        <v>189</v>
      </c>
    </row>
    <row r="455" spans="1:8" x14ac:dyDescent="0.35">
      <c r="A455" s="16">
        <v>46297</v>
      </c>
      <c r="B455" t="s">
        <v>10</v>
      </c>
      <c r="C455" s="9" t="s">
        <v>268</v>
      </c>
      <c r="D455" s="1" t="s">
        <v>157</v>
      </c>
      <c r="E455" s="11" t="s">
        <v>13</v>
      </c>
      <c r="F455" s="1">
        <v>1.96</v>
      </c>
    </row>
    <row r="456" spans="1:8" x14ac:dyDescent="0.35">
      <c r="A456" s="16">
        <v>46297</v>
      </c>
      <c r="B456" t="s">
        <v>10</v>
      </c>
      <c r="C456" s="9" t="s">
        <v>268</v>
      </c>
      <c r="D456" s="1" t="s">
        <v>126</v>
      </c>
      <c r="E456" s="11" t="s">
        <v>17</v>
      </c>
      <c r="G456" s="14" t="s">
        <v>365</v>
      </c>
      <c r="H456" t="s">
        <v>189</v>
      </c>
    </row>
    <row r="457" spans="1:8" x14ac:dyDescent="0.35">
      <c r="A457" s="16">
        <v>46297</v>
      </c>
      <c r="B457" t="s">
        <v>10</v>
      </c>
      <c r="C457" s="9" t="s">
        <v>268</v>
      </c>
      <c r="D457" s="1" t="s">
        <v>175</v>
      </c>
      <c r="E457" s="11" t="s">
        <v>13</v>
      </c>
      <c r="F457" s="1">
        <v>3.28</v>
      </c>
    </row>
    <row r="458" spans="1:8" x14ac:dyDescent="0.35">
      <c r="A458" s="16">
        <v>46297</v>
      </c>
      <c r="B458" t="s">
        <v>271</v>
      </c>
      <c r="C458" s="9" t="s">
        <v>268</v>
      </c>
      <c r="D458" s="1">
        <v>4</v>
      </c>
      <c r="E458" s="11" t="s">
        <v>17</v>
      </c>
      <c r="G458" s="14" t="s">
        <v>366</v>
      </c>
      <c r="H458" t="s">
        <v>193</v>
      </c>
    </row>
    <row r="459" spans="1:8" x14ac:dyDescent="0.35">
      <c r="A459" s="16">
        <v>46297</v>
      </c>
      <c r="B459" t="s">
        <v>271</v>
      </c>
      <c r="C459" s="9" t="s">
        <v>268</v>
      </c>
      <c r="D459" s="1">
        <v>8</v>
      </c>
      <c r="E459" s="11" t="s">
        <v>17</v>
      </c>
      <c r="G459" s="14" t="s">
        <v>366</v>
      </c>
      <c r="H459" t="s">
        <v>193</v>
      </c>
    </row>
    <row r="460" spans="1:8" x14ac:dyDescent="0.35">
      <c r="A460" s="16">
        <v>46298</v>
      </c>
      <c r="B460" t="s">
        <v>18</v>
      </c>
      <c r="C460" s="9" t="s">
        <v>369</v>
      </c>
      <c r="D460" s="1" t="s">
        <v>122</v>
      </c>
      <c r="E460" s="11" t="s">
        <v>13</v>
      </c>
      <c r="F460" s="1">
        <v>1.41</v>
      </c>
    </row>
    <row r="461" spans="1:8" x14ac:dyDescent="0.35">
      <c r="A461" s="16">
        <v>46298</v>
      </c>
      <c r="B461" t="s">
        <v>10</v>
      </c>
      <c r="C461" s="9" t="s">
        <v>369</v>
      </c>
      <c r="D461" s="1" t="s">
        <v>157</v>
      </c>
      <c r="E461" s="11" t="s">
        <v>13</v>
      </c>
      <c r="F461" s="1">
        <v>2.77</v>
      </c>
    </row>
    <row r="462" spans="1:8" x14ac:dyDescent="0.35">
      <c r="A462" s="16">
        <v>46298</v>
      </c>
      <c r="B462" t="s">
        <v>10</v>
      </c>
      <c r="C462" s="9" t="s">
        <v>369</v>
      </c>
      <c r="D462" s="1" t="s">
        <v>175</v>
      </c>
      <c r="E462" s="11" t="s">
        <v>13</v>
      </c>
      <c r="F462" s="1">
        <v>3.98</v>
      </c>
    </row>
    <row r="463" spans="1:8" x14ac:dyDescent="0.35">
      <c r="A463" s="16">
        <v>46298</v>
      </c>
      <c r="B463" t="s">
        <v>271</v>
      </c>
      <c r="C463" s="9" t="s">
        <v>369</v>
      </c>
      <c r="D463" s="1">
        <v>7</v>
      </c>
      <c r="E463" s="11" t="s">
        <v>17</v>
      </c>
      <c r="G463" s="14" t="s">
        <v>367</v>
      </c>
      <c r="H463" t="s">
        <v>191</v>
      </c>
    </row>
    <row r="464" spans="1:8" x14ac:dyDescent="0.35">
      <c r="A464" s="16">
        <v>46298</v>
      </c>
      <c r="B464" t="s">
        <v>271</v>
      </c>
      <c r="C464" s="9" t="s">
        <v>369</v>
      </c>
      <c r="D464" s="1">
        <v>4</v>
      </c>
      <c r="E464" s="11" t="s">
        <v>17</v>
      </c>
      <c r="G464" s="14" t="s">
        <v>368</v>
      </c>
      <c r="H464" t="s">
        <v>194</v>
      </c>
    </row>
    <row r="465" spans="1:8" x14ac:dyDescent="0.35">
      <c r="A465" s="16">
        <v>46298</v>
      </c>
      <c r="B465" t="s">
        <v>10</v>
      </c>
      <c r="C465" s="9" t="s">
        <v>369</v>
      </c>
      <c r="D465" s="1" t="s">
        <v>253</v>
      </c>
      <c r="E465" s="11" t="s">
        <v>17</v>
      </c>
      <c r="G465" s="14" t="s">
        <v>182</v>
      </c>
      <c r="H465" t="s">
        <v>191</v>
      </c>
    </row>
    <row r="466" spans="1:8" x14ac:dyDescent="0.35">
      <c r="A466" s="16">
        <v>46299</v>
      </c>
      <c r="B466" t="s">
        <v>18</v>
      </c>
      <c r="C466" s="9" t="s">
        <v>301</v>
      </c>
      <c r="D466" s="1" t="s">
        <v>144</v>
      </c>
      <c r="E466" s="11" t="s">
        <v>13</v>
      </c>
      <c r="F466" s="1">
        <v>2.25</v>
      </c>
    </row>
    <row r="467" spans="1:8" x14ac:dyDescent="0.35">
      <c r="A467" s="16">
        <v>46299</v>
      </c>
      <c r="B467" t="s">
        <v>18</v>
      </c>
      <c r="C467" s="9" t="s">
        <v>301</v>
      </c>
      <c r="D467" s="1" t="s">
        <v>256</v>
      </c>
      <c r="E467" s="11" t="s">
        <v>17</v>
      </c>
      <c r="G467" s="14" t="s">
        <v>370</v>
      </c>
      <c r="H467" t="s">
        <v>190</v>
      </c>
    </row>
    <row r="468" spans="1:8" x14ac:dyDescent="0.35">
      <c r="A468" s="16">
        <v>46299</v>
      </c>
      <c r="B468" t="s">
        <v>10</v>
      </c>
      <c r="C468" s="9" t="s">
        <v>301</v>
      </c>
      <c r="D468" s="1" t="s">
        <v>131</v>
      </c>
      <c r="E468" s="11" t="s">
        <v>13</v>
      </c>
      <c r="F468" s="1">
        <v>2.66</v>
      </c>
    </row>
    <row r="469" spans="1:8" x14ac:dyDescent="0.35">
      <c r="A469" s="16">
        <v>46299</v>
      </c>
      <c r="B469" t="s">
        <v>10</v>
      </c>
      <c r="C469" s="9" t="s">
        <v>301</v>
      </c>
      <c r="D469" s="1" t="s">
        <v>162</v>
      </c>
      <c r="E469" s="11" t="s">
        <v>13</v>
      </c>
      <c r="F469" s="1">
        <v>1.02</v>
      </c>
    </row>
    <row r="470" spans="1:8" x14ac:dyDescent="0.35">
      <c r="A470" s="16">
        <v>46299</v>
      </c>
      <c r="B470" t="s">
        <v>10</v>
      </c>
      <c r="C470" s="9" t="s">
        <v>301</v>
      </c>
      <c r="D470" s="1" t="s">
        <v>234</v>
      </c>
      <c r="E470" s="11" t="s">
        <v>13</v>
      </c>
      <c r="F470" s="1">
        <v>2.4300000000000002</v>
      </c>
    </row>
    <row r="471" spans="1:8" x14ac:dyDescent="0.35">
      <c r="A471" s="16">
        <v>46299</v>
      </c>
      <c r="B471" t="s">
        <v>10</v>
      </c>
      <c r="C471" s="9" t="s">
        <v>301</v>
      </c>
      <c r="D471" s="1" t="s">
        <v>371</v>
      </c>
      <c r="E471" s="11" t="s">
        <v>13</v>
      </c>
      <c r="F471" s="1">
        <v>1.84</v>
      </c>
      <c r="G471" s="14" t="s">
        <v>372</v>
      </c>
    </row>
    <row r="472" spans="1:8" x14ac:dyDescent="0.35">
      <c r="A472" s="16">
        <v>46299</v>
      </c>
      <c r="B472" t="s">
        <v>18</v>
      </c>
      <c r="C472" s="9" t="s">
        <v>304</v>
      </c>
      <c r="D472" s="1" t="s">
        <v>256</v>
      </c>
      <c r="E472" s="11" t="s">
        <v>13</v>
      </c>
      <c r="F472" s="1">
        <v>1.01</v>
      </c>
    </row>
    <row r="473" spans="1:8" x14ac:dyDescent="0.35">
      <c r="A473" s="16">
        <v>46300</v>
      </c>
      <c r="B473" t="s">
        <v>10</v>
      </c>
      <c r="C473" s="9" t="s">
        <v>31</v>
      </c>
      <c r="D473" s="1">
        <v>9</v>
      </c>
      <c r="E473" s="11" t="s">
        <v>17</v>
      </c>
      <c r="G473" s="14" t="s">
        <v>373</v>
      </c>
      <c r="H473" t="s">
        <v>191</v>
      </c>
    </row>
    <row r="474" spans="1:8" x14ac:dyDescent="0.35">
      <c r="A474" s="16">
        <v>46300</v>
      </c>
      <c r="B474" t="s">
        <v>10</v>
      </c>
      <c r="C474" s="9" t="s">
        <v>31</v>
      </c>
      <c r="D474" s="1">
        <v>24</v>
      </c>
      <c r="E474" s="11" t="s">
        <v>13</v>
      </c>
      <c r="F474" s="1">
        <v>4.1399999999999997</v>
      </c>
    </row>
    <row r="475" spans="1:8" x14ac:dyDescent="0.35">
      <c r="A475" s="16">
        <v>46300</v>
      </c>
      <c r="B475" t="s">
        <v>18</v>
      </c>
      <c r="C475" s="9" t="s">
        <v>31</v>
      </c>
      <c r="D475" s="1">
        <v>11</v>
      </c>
      <c r="E475" s="11" t="s">
        <v>13</v>
      </c>
      <c r="F475" s="1">
        <v>2.25</v>
      </c>
    </row>
    <row r="476" spans="1:8" x14ac:dyDescent="0.35">
      <c r="A476" s="16">
        <v>46300</v>
      </c>
      <c r="B476" t="s">
        <v>18</v>
      </c>
      <c r="C476" s="9" t="s">
        <v>31</v>
      </c>
      <c r="D476" s="1">
        <v>24</v>
      </c>
      <c r="E476" s="11" t="s">
        <v>17</v>
      </c>
      <c r="G476" s="14" t="s">
        <v>374</v>
      </c>
      <c r="H476" t="s">
        <v>192</v>
      </c>
    </row>
    <row r="477" spans="1:8" x14ac:dyDescent="0.35">
      <c r="A477" s="16">
        <v>46300</v>
      </c>
      <c r="B477" t="s">
        <v>18</v>
      </c>
      <c r="C477" s="9" t="s">
        <v>31</v>
      </c>
      <c r="D477" s="1" t="s">
        <v>256</v>
      </c>
      <c r="E477" s="11" t="s">
        <v>13</v>
      </c>
      <c r="F477" s="1">
        <v>3.28</v>
      </c>
    </row>
    <row r="478" spans="1:8" x14ac:dyDescent="0.35">
      <c r="A478" s="16">
        <v>46300</v>
      </c>
      <c r="B478" t="s">
        <v>18</v>
      </c>
      <c r="C478" s="9" t="s">
        <v>31</v>
      </c>
      <c r="D478" s="1">
        <v>13</v>
      </c>
      <c r="E478" s="11" t="s">
        <v>17</v>
      </c>
      <c r="G478" s="14" t="s">
        <v>375</v>
      </c>
      <c r="H478" t="s">
        <v>190</v>
      </c>
    </row>
    <row r="479" spans="1:8" x14ac:dyDescent="0.35">
      <c r="A479" s="16">
        <v>46301</v>
      </c>
      <c r="B479" t="s">
        <v>18</v>
      </c>
      <c r="C479" s="9" t="s">
        <v>31</v>
      </c>
      <c r="D479" s="1" t="s">
        <v>144</v>
      </c>
      <c r="E479" s="11" t="s">
        <v>13</v>
      </c>
      <c r="F479" s="1">
        <v>2.93</v>
      </c>
      <c r="G479" s="14" t="s">
        <v>376</v>
      </c>
    </row>
    <row r="480" spans="1:8" x14ac:dyDescent="0.35">
      <c r="A480" s="16">
        <v>46301</v>
      </c>
      <c r="B480" t="s">
        <v>18</v>
      </c>
      <c r="C480" s="9" t="s">
        <v>31</v>
      </c>
      <c r="D480" s="1" t="s">
        <v>166</v>
      </c>
      <c r="E480" s="11" t="s">
        <v>13</v>
      </c>
      <c r="F480" s="1">
        <v>2.0099999999999998</v>
      </c>
    </row>
    <row r="481" spans="1:8" x14ac:dyDescent="0.35">
      <c r="A481" s="16">
        <v>46301</v>
      </c>
      <c r="B481" t="s">
        <v>18</v>
      </c>
      <c r="C481" s="9" t="s">
        <v>31</v>
      </c>
      <c r="D481" s="1" t="s">
        <v>377</v>
      </c>
      <c r="E481" s="11" t="s">
        <v>17</v>
      </c>
      <c r="G481" s="14" t="s">
        <v>130</v>
      </c>
      <c r="H481" t="s">
        <v>191</v>
      </c>
    </row>
    <row r="482" spans="1:8" x14ac:dyDescent="0.35">
      <c r="A482" s="16">
        <v>46301</v>
      </c>
      <c r="B482" t="s">
        <v>18</v>
      </c>
      <c r="C482" s="9" t="s">
        <v>31</v>
      </c>
      <c r="D482" s="1" t="s">
        <v>129</v>
      </c>
      <c r="E482" s="11" t="s">
        <v>13</v>
      </c>
      <c r="F482" s="1">
        <v>6.56</v>
      </c>
    </row>
    <row r="483" spans="1:8" x14ac:dyDescent="0.35">
      <c r="A483" s="16">
        <v>46301</v>
      </c>
      <c r="B483" t="s">
        <v>10</v>
      </c>
      <c r="C483" s="9" t="s">
        <v>31</v>
      </c>
      <c r="D483" s="1" t="s">
        <v>371</v>
      </c>
      <c r="E483" s="11" t="s">
        <v>13</v>
      </c>
      <c r="F483" s="1">
        <v>1.67</v>
      </c>
    </row>
    <row r="484" spans="1:8" x14ac:dyDescent="0.35">
      <c r="A484" s="16">
        <v>46301</v>
      </c>
      <c r="B484" t="s">
        <v>10</v>
      </c>
      <c r="C484" s="9" t="s">
        <v>31</v>
      </c>
      <c r="D484" s="1" t="s">
        <v>378</v>
      </c>
      <c r="E484" s="11" t="s">
        <v>13</v>
      </c>
      <c r="F484" s="1">
        <v>4.3600000000000003</v>
      </c>
    </row>
    <row r="485" spans="1:8" x14ac:dyDescent="0.35">
      <c r="A485" s="16">
        <v>46301</v>
      </c>
      <c r="B485" t="s">
        <v>10</v>
      </c>
      <c r="C485" s="9" t="s">
        <v>31</v>
      </c>
      <c r="D485" s="1" t="s">
        <v>275</v>
      </c>
      <c r="E485" s="11" t="s">
        <v>17</v>
      </c>
      <c r="G485" s="14" t="s">
        <v>379</v>
      </c>
      <c r="H485" t="s">
        <v>189</v>
      </c>
    </row>
    <row r="486" spans="1:8" x14ac:dyDescent="0.35">
      <c r="A486" s="16">
        <v>46301</v>
      </c>
      <c r="B486" t="s">
        <v>10</v>
      </c>
      <c r="C486" s="9" t="s">
        <v>31</v>
      </c>
      <c r="D486" s="1" t="s">
        <v>235</v>
      </c>
      <c r="E486" s="11" t="s">
        <v>17</v>
      </c>
      <c r="G486" s="14" t="s">
        <v>380</v>
      </c>
      <c r="H486" t="s">
        <v>189</v>
      </c>
    </row>
    <row r="487" spans="1:8" x14ac:dyDescent="0.35">
      <c r="A487" s="16">
        <v>46301</v>
      </c>
      <c r="B487" t="s">
        <v>10</v>
      </c>
      <c r="C487" s="9" t="s">
        <v>31</v>
      </c>
      <c r="D487" s="1" t="s">
        <v>162</v>
      </c>
      <c r="E487" s="11" t="s">
        <v>17</v>
      </c>
      <c r="G487" s="14" t="s">
        <v>381</v>
      </c>
      <c r="H487" t="s">
        <v>189</v>
      </c>
    </row>
    <row r="488" spans="1:8" x14ac:dyDescent="0.35">
      <c r="A488" s="16">
        <v>46301</v>
      </c>
      <c r="B488" t="s">
        <v>10</v>
      </c>
      <c r="C488" s="9" t="s">
        <v>31</v>
      </c>
      <c r="D488" s="1" t="s">
        <v>145</v>
      </c>
      <c r="E488" s="11" t="s">
        <v>17</v>
      </c>
      <c r="G488" s="14" t="s">
        <v>382</v>
      </c>
      <c r="H488" t="s">
        <v>189</v>
      </c>
    </row>
    <row r="489" spans="1:8" x14ac:dyDescent="0.35">
      <c r="A489" s="16">
        <v>46301</v>
      </c>
      <c r="B489" t="s">
        <v>10</v>
      </c>
      <c r="C489" s="9" t="s">
        <v>31</v>
      </c>
      <c r="D489" s="1" t="s">
        <v>148</v>
      </c>
      <c r="E489" s="11" t="s">
        <v>13</v>
      </c>
      <c r="F489" s="1">
        <v>3.66</v>
      </c>
    </row>
    <row r="490" spans="1:8" x14ac:dyDescent="0.35">
      <c r="A490" s="16">
        <v>46301</v>
      </c>
      <c r="B490" t="s">
        <v>10</v>
      </c>
      <c r="C490" s="9" t="s">
        <v>31</v>
      </c>
      <c r="D490" s="1" t="s">
        <v>131</v>
      </c>
      <c r="E490" s="11" t="s">
        <v>17</v>
      </c>
      <c r="G490" s="14" t="s">
        <v>383</v>
      </c>
      <c r="H490" t="s">
        <v>189</v>
      </c>
    </row>
    <row r="491" spans="1:8" x14ac:dyDescent="0.35">
      <c r="A491" s="16">
        <v>46301</v>
      </c>
      <c r="B491" t="s">
        <v>10</v>
      </c>
      <c r="C491" s="9" t="s">
        <v>31</v>
      </c>
      <c r="D491" s="1" t="s">
        <v>277</v>
      </c>
      <c r="E491" s="11" t="s">
        <v>17</v>
      </c>
      <c r="F491" s="1">
        <v>1.29</v>
      </c>
      <c r="G491" s="14" t="s">
        <v>382</v>
      </c>
      <c r="H491" t="s">
        <v>189</v>
      </c>
    </row>
    <row r="492" spans="1:8" x14ac:dyDescent="0.35">
      <c r="A492" s="16">
        <v>46301</v>
      </c>
      <c r="B492" t="s">
        <v>10</v>
      </c>
      <c r="C492" s="9" t="s">
        <v>31</v>
      </c>
      <c r="D492" s="1" t="s">
        <v>273</v>
      </c>
      <c r="E492" s="11" t="s">
        <v>17</v>
      </c>
      <c r="G492" s="14" t="s">
        <v>384</v>
      </c>
      <c r="H492" t="s">
        <v>189</v>
      </c>
    </row>
    <row r="493" spans="1:8" x14ac:dyDescent="0.35">
      <c r="A493" s="16">
        <v>46301</v>
      </c>
      <c r="B493" t="s">
        <v>271</v>
      </c>
      <c r="C493" s="9" t="s">
        <v>31</v>
      </c>
      <c r="D493" s="1" t="s">
        <v>386</v>
      </c>
      <c r="E493" s="11" t="s">
        <v>17</v>
      </c>
      <c r="G493" s="14" t="s">
        <v>385</v>
      </c>
      <c r="H493" t="s">
        <v>191</v>
      </c>
    </row>
    <row r="494" spans="1:8" x14ac:dyDescent="0.35">
      <c r="A494" s="16">
        <v>46301</v>
      </c>
      <c r="B494" t="s">
        <v>18</v>
      </c>
      <c r="C494" s="9" t="s">
        <v>31</v>
      </c>
      <c r="D494" s="1" t="s">
        <v>377</v>
      </c>
      <c r="E494" s="11" t="s">
        <v>13</v>
      </c>
      <c r="F494" s="1">
        <v>1.04</v>
      </c>
    </row>
    <row r="495" spans="1:8" x14ac:dyDescent="0.35">
      <c r="A495" s="16">
        <v>46302</v>
      </c>
      <c r="B495" t="s">
        <v>10</v>
      </c>
      <c r="C495" s="9" t="s">
        <v>340</v>
      </c>
      <c r="D495" s="1">
        <v>2</v>
      </c>
      <c r="E495" s="11" t="s">
        <v>17</v>
      </c>
      <c r="G495" s="14" t="s">
        <v>387</v>
      </c>
      <c r="H495" t="s">
        <v>190</v>
      </c>
    </row>
    <row r="496" spans="1:8" x14ac:dyDescent="0.35">
      <c r="A496" s="16">
        <v>46302</v>
      </c>
      <c r="B496" t="s">
        <v>10</v>
      </c>
      <c r="C496" s="9" t="s">
        <v>340</v>
      </c>
      <c r="D496" s="1">
        <v>4</v>
      </c>
      <c r="E496" s="11" t="s">
        <v>13</v>
      </c>
      <c r="F496" s="1">
        <v>10.1</v>
      </c>
    </row>
    <row r="497" spans="1:8" x14ac:dyDescent="0.35">
      <c r="A497" s="16">
        <v>46302</v>
      </c>
      <c r="B497" t="s">
        <v>10</v>
      </c>
      <c r="C497" s="9" t="s">
        <v>340</v>
      </c>
      <c r="D497" s="1">
        <v>2</v>
      </c>
      <c r="E497" s="11" t="s">
        <v>17</v>
      </c>
      <c r="G497" s="14" t="s">
        <v>388</v>
      </c>
      <c r="H497" t="s">
        <v>194</v>
      </c>
    </row>
    <row r="498" spans="1:8" x14ac:dyDescent="0.35">
      <c r="A498" s="16">
        <v>46302</v>
      </c>
      <c r="B498" t="s">
        <v>10</v>
      </c>
      <c r="C498" s="9" t="s">
        <v>340</v>
      </c>
      <c r="D498" s="1">
        <v>5</v>
      </c>
      <c r="E498" s="11" t="s">
        <v>13</v>
      </c>
      <c r="F498" s="1">
        <v>4.09</v>
      </c>
    </row>
    <row r="499" spans="1:8" x14ac:dyDescent="0.35">
      <c r="A499" s="16">
        <v>46302</v>
      </c>
      <c r="B499" t="s">
        <v>18</v>
      </c>
      <c r="C499" s="9" t="s">
        <v>340</v>
      </c>
      <c r="D499" s="1">
        <v>20</v>
      </c>
      <c r="E499" s="11" t="s">
        <v>13</v>
      </c>
      <c r="F499" s="1">
        <v>4.1900000000000004</v>
      </c>
      <c r="G499" s="14" t="s">
        <v>389</v>
      </c>
    </row>
    <row r="500" spans="1:8" x14ac:dyDescent="0.35">
      <c r="A500" s="16">
        <v>46302</v>
      </c>
      <c r="B500" t="s">
        <v>18</v>
      </c>
      <c r="C500" s="9" t="s">
        <v>340</v>
      </c>
      <c r="D500" s="1">
        <v>26</v>
      </c>
      <c r="E500" s="11" t="s">
        <v>13</v>
      </c>
      <c r="F500" s="1">
        <v>2.5099999999999998</v>
      </c>
    </row>
    <row r="501" spans="1:8" x14ac:dyDescent="0.35">
      <c r="A501" s="16">
        <v>46302</v>
      </c>
      <c r="B501" t="s">
        <v>18</v>
      </c>
      <c r="C501" s="9" t="s">
        <v>340</v>
      </c>
      <c r="D501" s="1">
        <v>17</v>
      </c>
      <c r="E501" s="11" t="s">
        <v>13</v>
      </c>
      <c r="F501" s="1">
        <v>21.38</v>
      </c>
      <c r="G501" s="14" t="s">
        <v>390</v>
      </c>
    </row>
    <row r="502" spans="1:8" x14ac:dyDescent="0.35">
      <c r="A502" t="s">
        <v>391</v>
      </c>
      <c r="B502" t="s">
        <v>10</v>
      </c>
      <c r="C502" s="9" t="s">
        <v>249</v>
      </c>
      <c r="D502" s="1" t="s">
        <v>32</v>
      </c>
      <c r="E502" s="11" t="s">
        <v>13</v>
      </c>
      <c r="F502" s="1" t="s">
        <v>392</v>
      </c>
      <c r="G502" s="14" t="s">
        <v>393</v>
      </c>
    </row>
    <row r="503" spans="1:8" x14ac:dyDescent="0.35">
      <c r="A503" t="s">
        <v>391</v>
      </c>
      <c r="B503" t="s">
        <v>10</v>
      </c>
      <c r="C503" s="9" t="s">
        <v>249</v>
      </c>
      <c r="D503" s="1" t="s">
        <v>33</v>
      </c>
      <c r="E503" s="11" t="s">
        <v>17</v>
      </c>
      <c r="F503" s="1" t="s">
        <v>14</v>
      </c>
      <c r="G503" s="14" t="s">
        <v>394</v>
      </c>
      <c r="H503" t="s">
        <v>189</v>
      </c>
    </row>
    <row r="504" spans="1:8" x14ac:dyDescent="0.35">
      <c r="A504" t="s">
        <v>391</v>
      </c>
      <c r="B504" t="s">
        <v>10</v>
      </c>
      <c r="C504" s="9" t="s">
        <v>249</v>
      </c>
      <c r="D504" s="1" t="s">
        <v>240</v>
      </c>
      <c r="E504" s="11" t="s">
        <v>13</v>
      </c>
      <c r="F504" s="1">
        <v>6.86</v>
      </c>
      <c r="G504" s="14" t="s">
        <v>395</v>
      </c>
    </row>
    <row r="505" spans="1:8" x14ac:dyDescent="0.35">
      <c r="A505" t="s">
        <v>391</v>
      </c>
      <c r="B505" t="s">
        <v>10</v>
      </c>
      <c r="C505" s="9" t="s">
        <v>249</v>
      </c>
      <c r="D505" s="1" t="s">
        <v>110</v>
      </c>
      <c r="E505" s="11" t="s">
        <v>17</v>
      </c>
      <c r="F505" s="1" t="s">
        <v>14</v>
      </c>
      <c r="G505" s="14" t="s">
        <v>220</v>
      </c>
      <c r="H505" t="s">
        <v>194</v>
      </c>
    </row>
    <row r="506" spans="1:8" x14ac:dyDescent="0.35">
      <c r="A506" t="s">
        <v>391</v>
      </c>
      <c r="B506" t="s">
        <v>18</v>
      </c>
      <c r="C506" s="9" t="s">
        <v>249</v>
      </c>
      <c r="D506" s="1" t="s">
        <v>135</v>
      </c>
      <c r="E506" s="11" t="s">
        <v>13</v>
      </c>
      <c r="F506" s="1" t="s">
        <v>396</v>
      </c>
      <c r="G506" s="14" t="s">
        <v>14</v>
      </c>
    </row>
    <row r="507" spans="1:8" x14ac:dyDescent="0.35">
      <c r="A507" t="s">
        <v>391</v>
      </c>
      <c r="B507" t="s">
        <v>18</v>
      </c>
      <c r="C507" s="9" t="s">
        <v>249</v>
      </c>
      <c r="D507" s="1" t="s">
        <v>40</v>
      </c>
      <c r="E507" s="11" t="s">
        <v>13</v>
      </c>
      <c r="F507" s="1" t="s">
        <v>397</v>
      </c>
      <c r="G507" s="14" t="s">
        <v>14</v>
      </c>
    </row>
    <row r="508" spans="1:8" x14ac:dyDescent="0.35">
      <c r="A508" t="s">
        <v>391</v>
      </c>
      <c r="B508" t="s">
        <v>18</v>
      </c>
      <c r="C508" s="9" t="s">
        <v>249</v>
      </c>
      <c r="D508" s="1" t="s">
        <v>96</v>
      </c>
      <c r="E508" s="11" t="s">
        <v>13</v>
      </c>
      <c r="F508" s="1" t="s">
        <v>398</v>
      </c>
      <c r="G508" s="14" t="s">
        <v>14</v>
      </c>
    </row>
    <row r="509" spans="1:8" x14ac:dyDescent="0.35">
      <c r="A509" t="s">
        <v>391</v>
      </c>
      <c r="B509" t="s">
        <v>18</v>
      </c>
      <c r="C509" s="9" t="s">
        <v>249</v>
      </c>
      <c r="D509" s="1" t="s">
        <v>24</v>
      </c>
      <c r="E509" s="11" t="s">
        <v>13</v>
      </c>
      <c r="F509" s="1" t="s">
        <v>399</v>
      </c>
      <c r="G509" s="14" t="s">
        <v>400</v>
      </c>
    </row>
    <row r="510" spans="1:8" x14ac:dyDescent="0.35">
      <c r="A510" s="16">
        <v>46304</v>
      </c>
      <c r="B510" t="s">
        <v>18</v>
      </c>
      <c r="C510" s="9" t="s">
        <v>249</v>
      </c>
      <c r="D510" s="1" t="s">
        <v>166</v>
      </c>
      <c r="E510" s="1" t="s">
        <v>13</v>
      </c>
      <c r="F510" s="1">
        <v>3.38</v>
      </c>
      <c r="G510"/>
    </row>
    <row r="511" spans="1:8" x14ac:dyDescent="0.35">
      <c r="A511" s="16">
        <v>46304</v>
      </c>
      <c r="B511" t="s">
        <v>18</v>
      </c>
      <c r="C511" s="9" t="s">
        <v>249</v>
      </c>
      <c r="D511" s="1" t="s">
        <v>260</v>
      </c>
      <c r="E511" s="1" t="s">
        <v>17</v>
      </c>
      <c r="G511" t="s">
        <v>403</v>
      </c>
      <c r="H511" t="s">
        <v>189</v>
      </c>
    </row>
    <row r="512" spans="1:8" x14ac:dyDescent="0.35">
      <c r="A512" s="16">
        <v>46304</v>
      </c>
      <c r="B512" t="s">
        <v>18</v>
      </c>
      <c r="C512" s="9" t="s">
        <v>249</v>
      </c>
      <c r="D512" s="1" t="s">
        <v>128</v>
      </c>
      <c r="E512" s="1" t="s">
        <v>17</v>
      </c>
      <c r="G512" t="s">
        <v>141</v>
      </c>
      <c r="H512" t="s">
        <v>190</v>
      </c>
    </row>
    <row r="513" spans="1:8" x14ac:dyDescent="0.35">
      <c r="A513" s="16">
        <v>46304</v>
      </c>
      <c r="B513" t="s">
        <v>18</v>
      </c>
      <c r="C513" s="9" t="s">
        <v>249</v>
      </c>
      <c r="D513" s="1" t="s">
        <v>256</v>
      </c>
      <c r="E513" s="1" t="s">
        <v>13</v>
      </c>
      <c r="F513" s="1">
        <v>4.37</v>
      </c>
      <c r="G513"/>
    </row>
    <row r="514" spans="1:8" x14ac:dyDescent="0.35">
      <c r="A514" s="16">
        <v>46304</v>
      </c>
      <c r="B514" t="s">
        <v>18</v>
      </c>
      <c r="C514" s="9" t="s">
        <v>249</v>
      </c>
      <c r="D514" s="1" t="s">
        <v>404</v>
      </c>
      <c r="E514" s="1" t="s">
        <v>17</v>
      </c>
      <c r="G514" t="s">
        <v>405</v>
      </c>
      <c r="H514" t="s">
        <v>190</v>
      </c>
    </row>
    <row r="515" spans="1:8" x14ac:dyDescent="0.35">
      <c r="A515" s="16">
        <v>46304</v>
      </c>
      <c r="B515" t="s">
        <v>18</v>
      </c>
      <c r="C515" s="9" t="s">
        <v>304</v>
      </c>
      <c r="D515" s="1" t="s">
        <v>124</v>
      </c>
      <c r="E515" s="11" t="s">
        <v>13</v>
      </c>
      <c r="F515" s="1">
        <v>8.5</v>
      </c>
    </row>
    <row r="516" spans="1:8" x14ac:dyDescent="0.35">
      <c r="A516" s="16">
        <v>46304</v>
      </c>
      <c r="B516" t="s">
        <v>18</v>
      </c>
      <c r="C516" s="9" t="s">
        <v>304</v>
      </c>
      <c r="D516" s="1" t="s">
        <v>169</v>
      </c>
      <c r="E516" s="11" t="s">
        <v>13</v>
      </c>
      <c r="F516" s="1">
        <v>2.66</v>
      </c>
      <c r="G516" s="14" t="s">
        <v>406</v>
      </c>
    </row>
    <row r="517" spans="1:8" x14ac:dyDescent="0.35">
      <c r="A517" s="16">
        <v>46304</v>
      </c>
      <c r="B517" t="s">
        <v>10</v>
      </c>
      <c r="C517" s="9" t="s">
        <v>304</v>
      </c>
      <c r="D517" s="1" t="s">
        <v>211</v>
      </c>
      <c r="E517" s="11" t="s">
        <v>13</v>
      </c>
      <c r="F517" s="1">
        <v>0.91</v>
      </c>
    </row>
    <row r="518" spans="1:8" x14ac:dyDescent="0.35">
      <c r="A518" s="16">
        <v>46304</v>
      </c>
      <c r="B518" t="s">
        <v>10</v>
      </c>
      <c r="C518" s="9" t="s">
        <v>304</v>
      </c>
      <c r="D518" s="1" t="s">
        <v>183</v>
      </c>
      <c r="E518" s="11" t="s">
        <v>13</v>
      </c>
      <c r="F518" s="1">
        <v>1.1499999999999999</v>
      </c>
      <c r="G518" s="14" t="s">
        <v>407</v>
      </c>
    </row>
    <row r="519" spans="1:8" x14ac:dyDescent="0.35">
      <c r="A519" s="16">
        <v>46304</v>
      </c>
      <c r="B519" t="s">
        <v>10</v>
      </c>
      <c r="C519" s="9" t="s">
        <v>304</v>
      </c>
      <c r="D519" s="1" t="s">
        <v>253</v>
      </c>
      <c r="E519" s="11" t="s">
        <v>17</v>
      </c>
      <c r="G519" s="14" t="s">
        <v>408</v>
      </c>
      <c r="H519" t="s">
        <v>191</v>
      </c>
    </row>
    <row r="520" spans="1:8" x14ac:dyDescent="0.35">
      <c r="A520" s="16">
        <v>46304</v>
      </c>
      <c r="B520" t="s">
        <v>10</v>
      </c>
      <c r="C520" s="9" t="s">
        <v>304</v>
      </c>
      <c r="D520" s="1" t="s">
        <v>360</v>
      </c>
      <c r="E520" s="11" t="s">
        <v>13</v>
      </c>
      <c r="F520" s="1">
        <v>3.35</v>
      </c>
    </row>
    <row r="521" spans="1:8" x14ac:dyDescent="0.35">
      <c r="A521" s="16">
        <v>46304</v>
      </c>
      <c r="B521" t="s">
        <v>271</v>
      </c>
      <c r="C521" s="9" t="s">
        <v>304</v>
      </c>
      <c r="D521" s="1">
        <v>1</v>
      </c>
      <c r="E521" s="11" t="s">
        <v>13</v>
      </c>
      <c r="F521" s="1">
        <v>2.87</v>
      </c>
    </row>
    <row r="522" spans="1:8" x14ac:dyDescent="0.35">
      <c r="A522" s="16">
        <v>46304</v>
      </c>
      <c r="B522" t="s">
        <v>271</v>
      </c>
      <c r="C522" s="9" t="s">
        <v>304</v>
      </c>
      <c r="D522" s="1">
        <v>6</v>
      </c>
      <c r="E522" s="11" t="s">
        <v>17</v>
      </c>
      <c r="G522" s="14" t="s">
        <v>409</v>
      </c>
      <c r="H522" t="s">
        <v>191</v>
      </c>
    </row>
    <row r="523" spans="1:8" x14ac:dyDescent="0.35">
      <c r="A523" s="16">
        <v>46305</v>
      </c>
      <c r="B523" t="s">
        <v>18</v>
      </c>
      <c r="C523" s="9" t="s">
        <v>304</v>
      </c>
      <c r="D523" s="1" t="s">
        <v>410</v>
      </c>
      <c r="E523" s="11" t="s">
        <v>13</v>
      </c>
      <c r="F523" s="1">
        <v>4.66</v>
      </c>
    </row>
    <row r="524" spans="1:8" x14ac:dyDescent="0.35">
      <c r="A524" s="16">
        <v>46305</v>
      </c>
      <c r="B524" t="s">
        <v>18</v>
      </c>
      <c r="C524" s="9" t="s">
        <v>304</v>
      </c>
      <c r="D524" s="1" t="s">
        <v>169</v>
      </c>
      <c r="E524" s="11" t="s">
        <v>13</v>
      </c>
      <c r="F524" s="1">
        <v>1.78</v>
      </c>
    </row>
    <row r="525" spans="1:8" x14ac:dyDescent="0.35">
      <c r="A525" s="16">
        <v>46305</v>
      </c>
      <c r="B525" t="s">
        <v>18</v>
      </c>
      <c r="C525" s="9" t="s">
        <v>304</v>
      </c>
      <c r="D525" s="1" t="s">
        <v>168</v>
      </c>
      <c r="E525" s="11" t="s">
        <v>13</v>
      </c>
      <c r="F525" s="1">
        <v>1.59</v>
      </c>
    </row>
    <row r="526" spans="1:8" x14ac:dyDescent="0.35">
      <c r="A526" s="16">
        <v>46305</v>
      </c>
      <c r="B526" t="s">
        <v>18</v>
      </c>
      <c r="C526" s="9" t="s">
        <v>304</v>
      </c>
      <c r="D526" s="1" t="s">
        <v>124</v>
      </c>
      <c r="E526" s="11" t="s">
        <v>17</v>
      </c>
      <c r="G526" s="14" t="s">
        <v>182</v>
      </c>
      <c r="H526" t="s">
        <v>191</v>
      </c>
    </row>
    <row r="527" spans="1:8" x14ac:dyDescent="0.35">
      <c r="A527" s="16">
        <v>46305</v>
      </c>
      <c r="B527" t="s">
        <v>10</v>
      </c>
      <c r="C527" s="9" t="s">
        <v>304</v>
      </c>
      <c r="D527" s="1" t="s">
        <v>211</v>
      </c>
      <c r="E527" s="11" t="s">
        <v>13</v>
      </c>
      <c r="F527" s="1">
        <v>0.05</v>
      </c>
      <c r="G527" s="14" t="s">
        <v>411</v>
      </c>
    </row>
    <row r="528" spans="1:8" x14ac:dyDescent="0.35">
      <c r="A528" s="16">
        <v>46305</v>
      </c>
      <c r="B528" t="s">
        <v>10</v>
      </c>
      <c r="C528" s="9" t="s">
        <v>304</v>
      </c>
      <c r="D528" s="1" t="s">
        <v>183</v>
      </c>
      <c r="E528" s="11" t="s">
        <v>13</v>
      </c>
      <c r="F528" s="1">
        <v>4.18</v>
      </c>
    </row>
    <row r="529" spans="1:8" x14ac:dyDescent="0.35">
      <c r="A529" s="16">
        <v>46305</v>
      </c>
      <c r="B529" t="s">
        <v>10</v>
      </c>
      <c r="C529" s="9" t="s">
        <v>304</v>
      </c>
      <c r="D529" s="1" t="s">
        <v>177</v>
      </c>
      <c r="E529" s="11" t="s">
        <v>17</v>
      </c>
      <c r="F529" s="1">
        <v>0.27</v>
      </c>
      <c r="G529" s="14" t="s">
        <v>412</v>
      </c>
      <c r="H529" t="s">
        <v>194</v>
      </c>
    </row>
    <row r="530" spans="1:8" x14ac:dyDescent="0.35">
      <c r="A530" s="16">
        <v>46305</v>
      </c>
      <c r="B530" t="s">
        <v>271</v>
      </c>
      <c r="C530" s="9" t="s">
        <v>304</v>
      </c>
      <c r="D530" s="1" t="s">
        <v>413</v>
      </c>
      <c r="E530" s="11" t="s">
        <v>13</v>
      </c>
      <c r="F530" s="1">
        <v>3.2</v>
      </c>
    </row>
    <row r="531" spans="1:8" x14ac:dyDescent="0.35">
      <c r="A531" s="16">
        <v>46306</v>
      </c>
      <c r="B531" t="s">
        <v>10</v>
      </c>
      <c r="C531" s="9" t="s">
        <v>334</v>
      </c>
      <c r="D531" s="1" t="s">
        <v>275</v>
      </c>
      <c r="E531" s="11" t="s">
        <v>13</v>
      </c>
      <c r="F531" s="1">
        <v>4.5599999999999996</v>
      </c>
      <c r="G531" s="14" t="s">
        <v>414</v>
      </c>
    </row>
    <row r="532" spans="1:8" x14ac:dyDescent="0.35">
      <c r="A532" s="16">
        <v>46306</v>
      </c>
      <c r="B532" t="s">
        <v>18</v>
      </c>
      <c r="C532" s="9" t="s">
        <v>334</v>
      </c>
      <c r="D532" s="1" t="s">
        <v>166</v>
      </c>
      <c r="E532" s="11" t="s">
        <v>13</v>
      </c>
      <c r="F532" s="1">
        <v>3.62</v>
      </c>
    </row>
    <row r="533" spans="1:8" x14ac:dyDescent="0.35">
      <c r="A533" s="16">
        <v>46306</v>
      </c>
      <c r="B533" t="s">
        <v>18</v>
      </c>
      <c r="C533" s="9" t="s">
        <v>334</v>
      </c>
      <c r="D533" s="1" t="s">
        <v>128</v>
      </c>
      <c r="E533" s="11" t="s">
        <v>17</v>
      </c>
      <c r="G533" s="14" t="s">
        <v>383</v>
      </c>
      <c r="H533" t="s">
        <v>189</v>
      </c>
    </row>
    <row r="534" spans="1:8" x14ac:dyDescent="0.35">
      <c r="A534" s="16">
        <v>46306</v>
      </c>
      <c r="B534" t="s">
        <v>18</v>
      </c>
      <c r="C534" s="9" t="s">
        <v>334</v>
      </c>
      <c r="D534" s="1" t="s">
        <v>404</v>
      </c>
      <c r="E534" s="11" t="s">
        <v>17</v>
      </c>
      <c r="G534" s="14" t="s">
        <v>415</v>
      </c>
      <c r="H534" t="s">
        <v>194</v>
      </c>
    </row>
    <row r="535" spans="1:8" x14ac:dyDescent="0.35">
      <c r="A535" s="16">
        <v>46306</v>
      </c>
      <c r="B535" t="s">
        <v>10</v>
      </c>
      <c r="C535" s="9" t="s">
        <v>334</v>
      </c>
      <c r="D535" s="1" t="s">
        <v>416</v>
      </c>
      <c r="E535" s="11" t="s">
        <v>13</v>
      </c>
      <c r="F535" s="1">
        <v>4.42</v>
      </c>
      <c r="G535" s="14" t="s">
        <v>417</v>
      </c>
    </row>
    <row r="536" spans="1:8" x14ac:dyDescent="0.35">
      <c r="A536" s="16">
        <v>46306</v>
      </c>
      <c r="B536" t="s">
        <v>18</v>
      </c>
      <c r="C536" s="9" t="s">
        <v>334</v>
      </c>
      <c r="D536" s="1" t="s">
        <v>404</v>
      </c>
      <c r="E536" s="11" t="s">
        <v>17</v>
      </c>
      <c r="G536" s="14" t="s">
        <v>418</v>
      </c>
      <c r="H536" t="s">
        <v>194</v>
      </c>
    </row>
    <row r="537" spans="1:8" x14ac:dyDescent="0.35">
      <c r="A537" s="16">
        <v>46306</v>
      </c>
      <c r="B537" t="s">
        <v>18</v>
      </c>
      <c r="C537" s="9" t="s">
        <v>334</v>
      </c>
      <c r="D537" s="1" t="s">
        <v>404</v>
      </c>
      <c r="E537" s="11" t="s">
        <v>13</v>
      </c>
      <c r="F537" s="1">
        <v>8.5399999999999991</v>
      </c>
    </row>
    <row r="538" spans="1:8" x14ac:dyDescent="0.35">
      <c r="A538" s="16">
        <v>46306</v>
      </c>
      <c r="B538" t="s">
        <v>18</v>
      </c>
      <c r="C538" s="9" t="s">
        <v>334</v>
      </c>
      <c r="D538" s="1" t="s">
        <v>144</v>
      </c>
      <c r="E538" s="11" t="s">
        <v>13</v>
      </c>
      <c r="F538" s="1">
        <v>7.97</v>
      </c>
    </row>
    <row r="539" spans="1:8" x14ac:dyDescent="0.35">
      <c r="A539" s="16">
        <v>46307</v>
      </c>
      <c r="B539" t="s">
        <v>18</v>
      </c>
      <c r="C539" s="9" t="s">
        <v>421</v>
      </c>
      <c r="D539" s="1">
        <v>11</v>
      </c>
      <c r="E539" s="11" t="s">
        <v>17</v>
      </c>
      <c r="G539" s="14" t="s">
        <v>419</v>
      </c>
      <c r="H539" t="s">
        <v>190</v>
      </c>
    </row>
    <row r="540" spans="1:8" x14ac:dyDescent="0.35">
      <c r="A540" s="16">
        <v>46307</v>
      </c>
      <c r="B540" t="s">
        <v>18</v>
      </c>
      <c r="C540" s="9" t="s">
        <v>421</v>
      </c>
      <c r="D540" s="1">
        <v>13</v>
      </c>
      <c r="E540" s="11" t="s">
        <v>13</v>
      </c>
      <c r="F540" s="1">
        <v>2.61</v>
      </c>
    </row>
    <row r="541" spans="1:8" x14ac:dyDescent="0.35">
      <c r="A541" s="16">
        <v>46307</v>
      </c>
      <c r="B541" t="s">
        <v>18</v>
      </c>
      <c r="C541" s="9" t="s">
        <v>421</v>
      </c>
      <c r="D541" s="1">
        <v>16</v>
      </c>
      <c r="E541" s="11" t="s">
        <v>17</v>
      </c>
      <c r="G541" s="14" t="s">
        <v>375</v>
      </c>
      <c r="H541" t="s">
        <v>190</v>
      </c>
    </row>
    <row r="542" spans="1:8" x14ac:dyDescent="0.35">
      <c r="A542" s="16">
        <v>46307</v>
      </c>
      <c r="B542" t="s">
        <v>10</v>
      </c>
      <c r="C542" s="9" t="s">
        <v>421</v>
      </c>
      <c r="D542" s="1">
        <v>17</v>
      </c>
      <c r="E542" s="11" t="s">
        <v>13</v>
      </c>
      <c r="F542" s="1">
        <v>5.62</v>
      </c>
    </row>
    <row r="543" spans="1:8" x14ac:dyDescent="0.35">
      <c r="A543" s="16">
        <v>46307</v>
      </c>
      <c r="B543" t="s">
        <v>10</v>
      </c>
      <c r="C543" s="9" t="s">
        <v>421</v>
      </c>
      <c r="D543" s="1">
        <v>21</v>
      </c>
      <c r="E543" s="11" t="s">
        <v>13</v>
      </c>
      <c r="F543" s="1">
        <v>8.02</v>
      </c>
      <c r="G543" s="14" t="s">
        <v>420</v>
      </c>
    </row>
    <row r="544" spans="1:8" x14ac:dyDescent="0.35">
      <c r="A544" s="16">
        <v>46307</v>
      </c>
      <c r="B544" t="s">
        <v>10</v>
      </c>
      <c r="C544" s="9" t="s">
        <v>421</v>
      </c>
      <c r="D544" s="1">
        <v>6</v>
      </c>
      <c r="E544" s="11" t="s">
        <v>13</v>
      </c>
      <c r="F544" s="1">
        <v>4.53</v>
      </c>
    </row>
    <row r="545" spans="1:8" x14ac:dyDescent="0.35">
      <c r="A545" s="16">
        <v>46307</v>
      </c>
      <c r="B545" t="s">
        <v>10</v>
      </c>
      <c r="C545" s="9" t="s">
        <v>421</v>
      </c>
      <c r="D545" s="1">
        <v>2</v>
      </c>
      <c r="E545" s="11" t="s">
        <v>13</v>
      </c>
      <c r="F545" s="1">
        <v>5.55</v>
      </c>
    </row>
    <row r="546" spans="1:8" x14ac:dyDescent="0.35">
      <c r="A546" s="16">
        <v>46307</v>
      </c>
      <c r="B546" t="s">
        <v>18</v>
      </c>
      <c r="C546" s="9" t="s">
        <v>334</v>
      </c>
      <c r="D546" s="1" t="s">
        <v>422</v>
      </c>
      <c r="E546" s="11" t="s">
        <v>17</v>
      </c>
      <c r="G546" s="14" t="s">
        <v>423</v>
      </c>
      <c r="H546" t="s">
        <v>190</v>
      </c>
    </row>
    <row r="547" spans="1:8" x14ac:dyDescent="0.35">
      <c r="A547" s="16">
        <v>46307</v>
      </c>
      <c r="B547" t="s">
        <v>18</v>
      </c>
      <c r="C547" s="9" t="s">
        <v>334</v>
      </c>
      <c r="D547" s="1">
        <v>17</v>
      </c>
      <c r="E547" s="11" t="s">
        <v>17</v>
      </c>
      <c r="G547" s="14" t="s">
        <v>381</v>
      </c>
      <c r="H547" t="s">
        <v>189</v>
      </c>
    </row>
    <row r="548" spans="1:8" x14ac:dyDescent="0.35">
      <c r="A548" s="16">
        <v>46307</v>
      </c>
      <c r="B548" t="s">
        <v>18</v>
      </c>
      <c r="C548" s="9" t="s">
        <v>249</v>
      </c>
      <c r="D548" s="1">
        <v>26</v>
      </c>
      <c r="E548" s="11" t="s">
        <v>13</v>
      </c>
      <c r="F548" s="1">
        <v>3.6</v>
      </c>
      <c r="G548" s="14" t="s">
        <v>424</v>
      </c>
    </row>
    <row r="549" spans="1:8" x14ac:dyDescent="0.35">
      <c r="A549" s="16">
        <v>46307</v>
      </c>
      <c r="B549" t="s">
        <v>18</v>
      </c>
      <c r="C549" s="9" t="s">
        <v>249</v>
      </c>
      <c r="D549" s="1" t="s">
        <v>410</v>
      </c>
      <c r="E549" s="11" t="s">
        <v>13</v>
      </c>
      <c r="F549" s="1">
        <v>19.899999999999999</v>
      </c>
      <c r="G549" s="14" t="s">
        <v>425</v>
      </c>
    </row>
    <row r="550" spans="1:8" x14ac:dyDescent="0.35">
      <c r="A550" s="16">
        <v>46308</v>
      </c>
      <c r="B550" t="s">
        <v>18</v>
      </c>
      <c r="C550" s="9" t="s">
        <v>442</v>
      </c>
      <c r="D550" s="1" t="s">
        <v>296</v>
      </c>
      <c r="E550" s="11" t="s">
        <v>13</v>
      </c>
      <c r="F550" s="1">
        <v>2.82</v>
      </c>
      <c r="G550" s="14" t="s">
        <v>426</v>
      </c>
    </row>
    <row r="551" spans="1:8" x14ac:dyDescent="0.35">
      <c r="A551" s="16">
        <v>46308</v>
      </c>
      <c r="B551" t="s">
        <v>18</v>
      </c>
      <c r="C551" s="9" t="s">
        <v>442</v>
      </c>
      <c r="D551" s="1" t="s">
        <v>427</v>
      </c>
      <c r="E551" s="11" t="s">
        <v>17</v>
      </c>
      <c r="G551" s="14" t="s">
        <v>381</v>
      </c>
      <c r="H551" t="s">
        <v>189</v>
      </c>
    </row>
    <row r="552" spans="1:8" x14ac:dyDescent="0.35">
      <c r="A552" s="16">
        <v>46308</v>
      </c>
      <c r="B552" t="s">
        <v>18</v>
      </c>
      <c r="C552" s="9" t="s">
        <v>442</v>
      </c>
      <c r="D552" s="1" t="s">
        <v>428</v>
      </c>
      <c r="E552" s="11" t="s">
        <v>13</v>
      </c>
      <c r="F552" s="1">
        <v>1.51</v>
      </c>
      <c r="G552" s="14" t="s">
        <v>429</v>
      </c>
    </row>
    <row r="553" spans="1:8" x14ac:dyDescent="0.35">
      <c r="A553" s="16">
        <v>46308</v>
      </c>
      <c r="B553" t="s">
        <v>18</v>
      </c>
      <c r="C553" s="9" t="s">
        <v>442</v>
      </c>
      <c r="D553" s="1" t="s">
        <v>430</v>
      </c>
      <c r="E553" s="11" t="s">
        <v>17</v>
      </c>
      <c r="G553" s="14" t="s">
        <v>431</v>
      </c>
      <c r="H553" t="s">
        <v>191</v>
      </c>
    </row>
    <row r="554" spans="1:8" x14ac:dyDescent="0.35">
      <c r="A554" s="16">
        <v>46308</v>
      </c>
      <c r="B554" t="s">
        <v>10</v>
      </c>
      <c r="C554" s="9" t="s">
        <v>442</v>
      </c>
      <c r="D554" s="1" t="s">
        <v>432</v>
      </c>
      <c r="E554" s="11" t="s">
        <v>17</v>
      </c>
      <c r="G554" s="14" t="s">
        <v>433</v>
      </c>
      <c r="H554" t="s">
        <v>194</v>
      </c>
    </row>
    <row r="555" spans="1:8" x14ac:dyDescent="0.35">
      <c r="A555" s="16">
        <v>46308</v>
      </c>
      <c r="B555" t="s">
        <v>10</v>
      </c>
      <c r="C555" s="9" t="s">
        <v>442</v>
      </c>
      <c r="D555" s="1" t="s">
        <v>275</v>
      </c>
      <c r="E555" s="11" t="s">
        <v>17</v>
      </c>
      <c r="G555" s="14" t="s">
        <v>434</v>
      </c>
      <c r="H555" t="s">
        <v>189</v>
      </c>
    </row>
    <row r="556" spans="1:8" x14ac:dyDescent="0.35">
      <c r="A556" s="16">
        <v>46308</v>
      </c>
      <c r="B556" t="s">
        <v>10</v>
      </c>
      <c r="C556" s="9" t="s">
        <v>442</v>
      </c>
      <c r="D556" s="1" t="s">
        <v>435</v>
      </c>
      <c r="E556" s="11" t="s">
        <v>13</v>
      </c>
      <c r="F556" s="1">
        <v>2.41</v>
      </c>
    </row>
    <row r="557" spans="1:8" x14ac:dyDescent="0.35">
      <c r="A557" s="16">
        <v>46308</v>
      </c>
      <c r="B557" t="s">
        <v>10</v>
      </c>
      <c r="C557" s="9" t="s">
        <v>442</v>
      </c>
      <c r="D557" s="1" t="s">
        <v>436</v>
      </c>
      <c r="E557" s="11" t="s">
        <v>13</v>
      </c>
      <c r="F557" s="1">
        <v>7.39</v>
      </c>
      <c r="G557" s="14" t="s">
        <v>437</v>
      </c>
    </row>
    <row r="558" spans="1:8" x14ac:dyDescent="0.35">
      <c r="A558" s="16">
        <v>46308</v>
      </c>
      <c r="B558" t="s">
        <v>10</v>
      </c>
      <c r="C558" s="9" t="s">
        <v>442</v>
      </c>
      <c r="D558" s="1" t="s">
        <v>438</v>
      </c>
      <c r="E558" s="11" t="s">
        <v>13</v>
      </c>
      <c r="F558" s="1">
        <v>2.5499999999999998</v>
      </c>
    </row>
    <row r="559" spans="1:8" x14ac:dyDescent="0.35">
      <c r="A559" s="16">
        <v>46308</v>
      </c>
      <c r="B559" t="s">
        <v>10</v>
      </c>
      <c r="C559" s="9" t="s">
        <v>442</v>
      </c>
      <c r="D559" s="1" t="s">
        <v>439</v>
      </c>
      <c r="E559" s="11" t="s">
        <v>13</v>
      </c>
      <c r="F559" s="1">
        <v>3.35</v>
      </c>
    </row>
    <row r="560" spans="1:8" x14ac:dyDescent="0.35">
      <c r="A560" s="16">
        <v>46308</v>
      </c>
      <c r="B560" t="s">
        <v>10</v>
      </c>
      <c r="C560" s="9" t="s">
        <v>442</v>
      </c>
      <c r="D560" s="1" t="s">
        <v>416</v>
      </c>
      <c r="E560" s="11" t="s">
        <v>17</v>
      </c>
      <c r="G560" s="14" t="s">
        <v>440</v>
      </c>
      <c r="H560" t="s">
        <v>194</v>
      </c>
    </row>
    <row r="561" spans="1:8" x14ac:dyDescent="0.35">
      <c r="A561" s="16">
        <v>46308</v>
      </c>
      <c r="B561" t="s">
        <v>18</v>
      </c>
      <c r="C561" s="9" t="s">
        <v>442</v>
      </c>
      <c r="D561" s="1" t="s">
        <v>441</v>
      </c>
      <c r="E561" s="11" t="s">
        <v>13</v>
      </c>
      <c r="F561" s="1">
        <v>21.24</v>
      </c>
    </row>
    <row r="562" spans="1:8" x14ac:dyDescent="0.35">
      <c r="A562" s="16">
        <v>46309</v>
      </c>
      <c r="B562" t="s">
        <v>10</v>
      </c>
      <c r="C562" s="9" t="s">
        <v>249</v>
      </c>
      <c r="D562" s="1">
        <v>2</v>
      </c>
      <c r="E562" s="11" t="s">
        <v>13</v>
      </c>
      <c r="F562" s="1">
        <v>7.17</v>
      </c>
      <c r="G562" s="14" t="s">
        <v>443</v>
      </c>
    </row>
    <row r="563" spans="1:8" x14ac:dyDescent="0.35">
      <c r="A563" s="16">
        <v>46309</v>
      </c>
      <c r="B563" t="s">
        <v>10</v>
      </c>
      <c r="C563" s="9" t="s">
        <v>249</v>
      </c>
      <c r="D563" s="1">
        <v>7</v>
      </c>
      <c r="E563" s="11" t="s">
        <v>17</v>
      </c>
      <c r="G563" s="14" t="s">
        <v>141</v>
      </c>
      <c r="H563" t="s">
        <v>190</v>
      </c>
    </row>
    <row r="564" spans="1:8" x14ac:dyDescent="0.35">
      <c r="A564" s="16">
        <v>46309</v>
      </c>
      <c r="B564" t="s">
        <v>10</v>
      </c>
      <c r="C564" s="9" t="s">
        <v>249</v>
      </c>
      <c r="D564" s="1">
        <v>19</v>
      </c>
      <c r="E564" s="11" t="s">
        <v>17</v>
      </c>
      <c r="G564" s="14" t="s">
        <v>100</v>
      </c>
      <c r="H564" t="s">
        <v>189</v>
      </c>
    </row>
    <row r="565" spans="1:8" x14ac:dyDescent="0.35">
      <c r="A565" s="16">
        <v>46309</v>
      </c>
      <c r="B565" t="s">
        <v>10</v>
      </c>
      <c r="C565" s="9" t="s">
        <v>249</v>
      </c>
      <c r="D565" s="1">
        <v>29</v>
      </c>
      <c r="E565" s="11" t="s">
        <v>13</v>
      </c>
      <c r="F565" s="1">
        <v>2.12</v>
      </c>
    </row>
    <row r="566" spans="1:8" x14ac:dyDescent="0.35">
      <c r="A566" s="16">
        <v>46309</v>
      </c>
      <c r="B566" t="s">
        <v>10</v>
      </c>
      <c r="C566" s="9" t="s">
        <v>249</v>
      </c>
      <c r="D566" s="1">
        <v>6</v>
      </c>
      <c r="E566" s="11" t="s">
        <v>17</v>
      </c>
      <c r="G566" s="14" t="s">
        <v>141</v>
      </c>
      <c r="H566" t="s">
        <v>190</v>
      </c>
    </row>
    <row r="567" spans="1:8" x14ac:dyDescent="0.35">
      <c r="A567" s="16">
        <v>46309</v>
      </c>
      <c r="B567" t="s">
        <v>18</v>
      </c>
      <c r="C567" s="9" t="s">
        <v>249</v>
      </c>
      <c r="D567" s="1" t="s">
        <v>135</v>
      </c>
      <c r="E567" s="11" t="s">
        <v>13</v>
      </c>
      <c r="F567" s="1">
        <v>6.46</v>
      </c>
    </row>
    <row r="568" spans="1:8" x14ac:dyDescent="0.35">
      <c r="A568" s="16">
        <v>46309</v>
      </c>
      <c r="B568" t="s">
        <v>18</v>
      </c>
      <c r="C568" s="9" t="s">
        <v>249</v>
      </c>
      <c r="D568" s="1" t="s">
        <v>410</v>
      </c>
      <c r="E568" s="11" t="s">
        <v>13</v>
      </c>
      <c r="F568" s="1">
        <v>17.59</v>
      </c>
      <c r="G568" s="14" t="s">
        <v>445</v>
      </c>
    </row>
    <row r="569" spans="1:8" x14ac:dyDescent="0.35">
      <c r="A569" s="16">
        <v>46309</v>
      </c>
      <c r="B569" t="s">
        <v>18</v>
      </c>
      <c r="C569" s="9" t="s">
        <v>249</v>
      </c>
      <c r="D569" s="1">
        <v>26</v>
      </c>
      <c r="E569" s="11" t="s">
        <v>13</v>
      </c>
      <c r="F569" s="1">
        <v>3.21</v>
      </c>
      <c r="G569" s="14" t="s">
        <v>444</v>
      </c>
    </row>
    <row r="570" spans="1:8" x14ac:dyDescent="0.35">
      <c r="A570" s="16">
        <v>46309</v>
      </c>
      <c r="B570" t="s">
        <v>10</v>
      </c>
      <c r="C570" s="9" t="s">
        <v>249</v>
      </c>
      <c r="D570" s="1">
        <v>6</v>
      </c>
      <c r="E570" s="11" t="s">
        <v>17</v>
      </c>
      <c r="G570" s="14" t="s">
        <v>141</v>
      </c>
      <c r="H570" t="s">
        <v>190</v>
      </c>
    </row>
    <row r="571" spans="1:8" x14ac:dyDescent="0.35">
      <c r="A571" s="16">
        <v>46309</v>
      </c>
      <c r="B571" t="s">
        <v>10</v>
      </c>
      <c r="C571" s="9" t="s">
        <v>249</v>
      </c>
      <c r="D571" s="1">
        <v>7</v>
      </c>
      <c r="E571" s="11" t="s">
        <v>17</v>
      </c>
      <c r="G571" s="14" t="s">
        <v>141</v>
      </c>
      <c r="H571" t="s">
        <v>190</v>
      </c>
    </row>
    <row r="572" spans="1:8" x14ac:dyDescent="0.35">
      <c r="A572" s="16">
        <v>46309</v>
      </c>
      <c r="B572" t="s">
        <v>10</v>
      </c>
      <c r="C572" s="9" t="s">
        <v>249</v>
      </c>
      <c r="D572" s="1">
        <v>6</v>
      </c>
      <c r="E572" s="11" t="s">
        <v>13</v>
      </c>
      <c r="F572" s="1">
        <v>20.350000000000001</v>
      </c>
      <c r="G572" s="14" t="s">
        <v>446</v>
      </c>
    </row>
    <row r="573" spans="1:8" x14ac:dyDescent="0.35">
      <c r="A573" s="16">
        <v>46309</v>
      </c>
      <c r="B573" t="s">
        <v>10</v>
      </c>
      <c r="C573" s="9" t="s">
        <v>249</v>
      </c>
      <c r="D573" s="1">
        <v>7</v>
      </c>
      <c r="E573" s="11" t="s">
        <v>17</v>
      </c>
      <c r="G573" s="14" t="s">
        <v>141</v>
      </c>
      <c r="H573" t="s">
        <v>190</v>
      </c>
    </row>
    <row r="574" spans="1:8" x14ac:dyDescent="0.35">
      <c r="A574" s="16">
        <v>46310</v>
      </c>
      <c r="B574" t="s">
        <v>18</v>
      </c>
      <c r="C574" s="9" t="s">
        <v>249</v>
      </c>
      <c r="D574" s="1" t="s">
        <v>225</v>
      </c>
      <c r="E574" s="11" t="s">
        <v>13</v>
      </c>
      <c r="F574" s="1">
        <v>12.82</v>
      </c>
    </row>
    <row r="575" spans="1:8" x14ac:dyDescent="0.35">
      <c r="A575" s="16">
        <v>46310</v>
      </c>
      <c r="B575" t="s">
        <v>18</v>
      </c>
      <c r="C575" s="9" t="s">
        <v>249</v>
      </c>
      <c r="D575" s="1" t="s">
        <v>410</v>
      </c>
      <c r="E575" s="11" t="s">
        <v>13</v>
      </c>
      <c r="F575" s="1">
        <v>15.45</v>
      </c>
    </row>
    <row r="576" spans="1:8" x14ac:dyDescent="0.35">
      <c r="A576" s="16">
        <v>46310</v>
      </c>
      <c r="B576" t="s">
        <v>18</v>
      </c>
      <c r="C576" s="9" t="s">
        <v>11</v>
      </c>
      <c r="D576" s="1" t="s">
        <v>122</v>
      </c>
      <c r="E576" s="11" t="s">
        <v>13</v>
      </c>
      <c r="F576" s="1">
        <v>2.0099999999999998</v>
      </c>
    </row>
    <row r="577" spans="1:8" x14ac:dyDescent="0.35">
      <c r="A577" s="16">
        <v>46310</v>
      </c>
      <c r="B577" t="s">
        <v>18</v>
      </c>
      <c r="C577" s="9" t="s">
        <v>11</v>
      </c>
      <c r="D577" s="1">
        <v>28</v>
      </c>
      <c r="E577" s="11" t="s">
        <v>17</v>
      </c>
      <c r="G577" s="14" t="s">
        <v>155</v>
      </c>
      <c r="H577" t="s">
        <v>192</v>
      </c>
    </row>
    <row r="578" spans="1:8" x14ac:dyDescent="0.35">
      <c r="A578" s="16">
        <v>46310</v>
      </c>
      <c r="B578" t="s">
        <v>10</v>
      </c>
      <c r="C578" s="9" t="s">
        <v>11</v>
      </c>
      <c r="D578" s="1">
        <v>2</v>
      </c>
      <c r="E578" s="11" t="s">
        <v>13</v>
      </c>
      <c r="F578" s="1">
        <v>6.38</v>
      </c>
      <c r="G578" s="14" t="s">
        <v>447</v>
      </c>
    </row>
    <row r="579" spans="1:8" x14ac:dyDescent="0.35">
      <c r="A579" s="16">
        <v>46310</v>
      </c>
      <c r="B579" t="s">
        <v>10</v>
      </c>
      <c r="C579" s="9" t="s">
        <v>11</v>
      </c>
      <c r="D579" s="1">
        <v>1</v>
      </c>
      <c r="E579" s="11" t="s">
        <v>13</v>
      </c>
      <c r="F579" s="1">
        <v>10.5</v>
      </c>
    </row>
    <row r="580" spans="1:8" x14ac:dyDescent="0.35">
      <c r="A580" s="16">
        <v>46310</v>
      </c>
      <c r="B580" t="s">
        <v>10</v>
      </c>
      <c r="C580" s="9" t="s">
        <v>11</v>
      </c>
      <c r="D580" s="1">
        <v>6</v>
      </c>
      <c r="E580" s="11" t="s">
        <v>17</v>
      </c>
      <c r="G580" s="14" t="s">
        <v>448</v>
      </c>
      <c r="H580" t="s">
        <v>189</v>
      </c>
    </row>
    <row r="581" spans="1:8" x14ac:dyDescent="0.35">
      <c r="A581" s="16">
        <v>46310</v>
      </c>
      <c r="B581" t="s">
        <v>10</v>
      </c>
      <c r="C581" s="9" t="s">
        <v>11</v>
      </c>
      <c r="D581" s="1">
        <v>9</v>
      </c>
      <c r="E581" s="11" t="s">
        <v>13</v>
      </c>
      <c r="F581" s="1">
        <v>3.12</v>
      </c>
    </row>
    <row r="582" spans="1:8" x14ac:dyDescent="0.35">
      <c r="A582" s="16">
        <v>46310</v>
      </c>
      <c r="B582" t="s">
        <v>10</v>
      </c>
      <c r="C582" s="9" t="s">
        <v>11</v>
      </c>
      <c r="D582" s="1">
        <v>19</v>
      </c>
      <c r="E582" s="11" t="s">
        <v>17</v>
      </c>
      <c r="G582" s="14" t="s">
        <v>155</v>
      </c>
      <c r="H582" t="s">
        <v>192</v>
      </c>
    </row>
    <row r="583" spans="1:8" x14ac:dyDescent="0.35">
      <c r="A583" s="16">
        <v>46310</v>
      </c>
      <c r="B583" t="s">
        <v>10</v>
      </c>
      <c r="C583" s="9" t="s">
        <v>11</v>
      </c>
      <c r="D583" s="1">
        <v>24</v>
      </c>
      <c r="E583" s="11" t="s">
        <v>13</v>
      </c>
      <c r="F583" s="1">
        <v>3.15</v>
      </c>
      <c r="G583" s="14" t="s">
        <v>449</v>
      </c>
    </row>
    <row r="584" spans="1:8" x14ac:dyDescent="0.35">
      <c r="A584" s="16">
        <v>46310</v>
      </c>
      <c r="B584" t="s">
        <v>10</v>
      </c>
      <c r="C584" s="9" t="s">
        <v>11</v>
      </c>
      <c r="D584" s="1">
        <v>29</v>
      </c>
      <c r="E584" s="11" t="s">
        <v>13</v>
      </c>
      <c r="F584" s="1">
        <v>3.36</v>
      </c>
    </row>
    <row r="585" spans="1:8" x14ac:dyDescent="0.35">
      <c r="A585" s="16">
        <v>46311</v>
      </c>
      <c r="B585" t="s">
        <v>10</v>
      </c>
      <c r="C585" s="9" t="s">
        <v>11</v>
      </c>
      <c r="D585" s="1" t="s">
        <v>211</v>
      </c>
      <c r="E585" s="11" t="s">
        <v>13</v>
      </c>
      <c r="F585" s="1">
        <v>3.5</v>
      </c>
      <c r="G585" s="14" t="s">
        <v>450</v>
      </c>
    </row>
    <row r="586" spans="1:8" x14ac:dyDescent="0.35">
      <c r="A586" s="16">
        <v>46311</v>
      </c>
      <c r="B586" t="s">
        <v>10</v>
      </c>
      <c r="C586" s="9" t="s">
        <v>11</v>
      </c>
      <c r="D586" s="1" t="s">
        <v>360</v>
      </c>
      <c r="E586" s="11" t="s">
        <v>13</v>
      </c>
      <c r="F586" s="1">
        <v>1.52</v>
      </c>
      <c r="G586" s="14" t="s">
        <v>451</v>
      </c>
    </row>
    <row r="587" spans="1:8" x14ac:dyDescent="0.35">
      <c r="A587" s="16">
        <v>46311</v>
      </c>
      <c r="B587" t="s">
        <v>10</v>
      </c>
      <c r="C587" s="9" t="s">
        <v>11</v>
      </c>
      <c r="D587" s="1" t="s">
        <v>157</v>
      </c>
      <c r="E587" s="11" t="s">
        <v>13</v>
      </c>
      <c r="F587" s="1">
        <v>5.38</v>
      </c>
      <c r="G587" s="14" t="s">
        <v>452</v>
      </c>
    </row>
    <row r="588" spans="1:8" x14ac:dyDescent="0.35">
      <c r="A588" s="16">
        <v>46311</v>
      </c>
      <c r="B588" t="s">
        <v>10</v>
      </c>
      <c r="C588" s="9" t="s">
        <v>11</v>
      </c>
      <c r="D588" s="1" t="s">
        <v>173</v>
      </c>
      <c r="E588" s="11" t="s">
        <v>17</v>
      </c>
      <c r="G588" s="14" t="s">
        <v>365</v>
      </c>
      <c r="H588" t="s">
        <v>189</v>
      </c>
    </row>
    <row r="589" spans="1:8" x14ac:dyDescent="0.35">
      <c r="A589" s="16">
        <v>46311</v>
      </c>
      <c r="B589" t="s">
        <v>18</v>
      </c>
      <c r="C589" s="9" t="s">
        <v>11</v>
      </c>
      <c r="D589" s="1" t="s">
        <v>178</v>
      </c>
      <c r="E589" s="11" t="s">
        <v>13</v>
      </c>
      <c r="F589" s="1">
        <v>1.77</v>
      </c>
      <c r="G589" s="14" t="s">
        <v>453</v>
      </c>
    </row>
    <row r="590" spans="1:8" x14ac:dyDescent="0.35">
      <c r="A590" s="16">
        <v>46311</v>
      </c>
      <c r="B590" t="s">
        <v>18</v>
      </c>
      <c r="C590" s="9" t="s">
        <v>11</v>
      </c>
      <c r="D590" s="1" t="s">
        <v>122</v>
      </c>
      <c r="E590" s="11" t="s">
        <v>13</v>
      </c>
      <c r="F590" s="1">
        <v>2.0299999999999998</v>
      </c>
    </row>
    <row r="591" spans="1:8" x14ac:dyDescent="0.35">
      <c r="A591" s="16">
        <v>46311</v>
      </c>
      <c r="B591" t="s">
        <v>10</v>
      </c>
      <c r="C591" s="9" t="s">
        <v>11</v>
      </c>
      <c r="D591" s="1" t="s">
        <v>177</v>
      </c>
      <c r="E591" s="11" t="s">
        <v>17</v>
      </c>
      <c r="G591" s="14" t="s">
        <v>454</v>
      </c>
      <c r="H591" t="s">
        <v>191</v>
      </c>
    </row>
    <row r="592" spans="1:8" x14ac:dyDescent="0.35">
      <c r="A592" s="16">
        <v>46311</v>
      </c>
      <c r="B592" t="s">
        <v>10</v>
      </c>
      <c r="C592" s="9" t="s">
        <v>11</v>
      </c>
      <c r="D592" s="1" t="s">
        <v>270</v>
      </c>
      <c r="E592" s="11" t="s">
        <v>13</v>
      </c>
      <c r="F592" s="1">
        <v>0.56999999999999995</v>
      </c>
    </row>
    <row r="593" spans="1:8" x14ac:dyDescent="0.35">
      <c r="A593" s="16">
        <v>46311</v>
      </c>
      <c r="B593" t="s">
        <v>10</v>
      </c>
      <c r="C593" s="9" t="s">
        <v>11</v>
      </c>
      <c r="D593" s="1" t="s">
        <v>156</v>
      </c>
      <c r="E593" s="11" t="s">
        <v>13</v>
      </c>
      <c r="F593" s="1">
        <v>1.53</v>
      </c>
    </row>
    <row r="594" spans="1:8" x14ac:dyDescent="0.35">
      <c r="A594" s="16">
        <v>46311</v>
      </c>
      <c r="B594" t="s">
        <v>18</v>
      </c>
      <c r="C594" s="9" t="s">
        <v>11</v>
      </c>
      <c r="D594" s="1" t="s">
        <v>455</v>
      </c>
      <c r="E594" s="11" t="s">
        <v>17</v>
      </c>
      <c r="G594" s="14" t="s">
        <v>456</v>
      </c>
      <c r="H594" t="s">
        <v>191</v>
      </c>
    </row>
    <row r="595" spans="1:8" x14ac:dyDescent="0.35">
      <c r="A595" s="16">
        <v>46311</v>
      </c>
      <c r="B595" t="s">
        <v>18</v>
      </c>
      <c r="C595" s="9" t="s">
        <v>11</v>
      </c>
      <c r="D595" s="1" t="s">
        <v>410</v>
      </c>
      <c r="E595" s="11" t="s">
        <v>17</v>
      </c>
      <c r="G595" s="14" t="s">
        <v>457</v>
      </c>
      <c r="H595" t="s">
        <v>191</v>
      </c>
    </row>
    <row r="596" spans="1:8" x14ac:dyDescent="0.35">
      <c r="A596" s="16">
        <v>46312</v>
      </c>
      <c r="B596" t="s">
        <v>18</v>
      </c>
      <c r="C596" s="9" t="s">
        <v>369</v>
      </c>
      <c r="D596" s="1" t="s">
        <v>168</v>
      </c>
      <c r="E596" s="11" t="s">
        <v>13</v>
      </c>
      <c r="F596" s="1">
        <v>3.28</v>
      </c>
      <c r="G596" s="14" t="s">
        <v>458</v>
      </c>
    </row>
    <row r="597" spans="1:8" x14ac:dyDescent="0.35">
      <c r="A597" s="16">
        <v>46312</v>
      </c>
      <c r="B597" t="s">
        <v>18</v>
      </c>
      <c r="C597" s="9" t="s">
        <v>369</v>
      </c>
      <c r="D597" s="1" t="s">
        <v>455</v>
      </c>
      <c r="E597" s="11" t="s">
        <v>13</v>
      </c>
      <c r="F597" s="1">
        <v>6.07</v>
      </c>
    </row>
    <row r="598" spans="1:8" x14ac:dyDescent="0.35">
      <c r="A598" s="16">
        <v>46312</v>
      </c>
      <c r="B598" t="s">
        <v>10</v>
      </c>
      <c r="C598" s="9" t="s">
        <v>369</v>
      </c>
      <c r="D598" s="1" t="s">
        <v>223</v>
      </c>
      <c r="E598" s="11" t="s">
        <v>17</v>
      </c>
      <c r="G598" s="14" t="s">
        <v>182</v>
      </c>
      <c r="H598" t="s">
        <v>191</v>
      </c>
    </row>
    <row r="599" spans="1:8" x14ac:dyDescent="0.35">
      <c r="A599" s="16">
        <v>46312</v>
      </c>
      <c r="B599" t="s">
        <v>10</v>
      </c>
      <c r="C599" s="9" t="s">
        <v>369</v>
      </c>
      <c r="D599" s="1" t="s">
        <v>270</v>
      </c>
      <c r="E599" s="11" t="s">
        <v>13</v>
      </c>
      <c r="F599" s="1">
        <v>3.72</v>
      </c>
      <c r="G599" s="14" t="s">
        <v>459</v>
      </c>
    </row>
    <row r="600" spans="1:8" x14ac:dyDescent="0.35">
      <c r="A600" s="16">
        <v>46312</v>
      </c>
      <c r="B600" t="s">
        <v>10</v>
      </c>
      <c r="C600" s="9" t="s">
        <v>369</v>
      </c>
      <c r="D600" s="1" t="s">
        <v>156</v>
      </c>
      <c r="E600" s="11" t="s">
        <v>17</v>
      </c>
      <c r="G600" s="14" t="s">
        <v>460</v>
      </c>
      <c r="H600" t="s">
        <v>191</v>
      </c>
    </row>
    <row r="601" spans="1:8" x14ac:dyDescent="0.35">
      <c r="A601" s="16">
        <v>46312</v>
      </c>
      <c r="B601" t="s">
        <v>10</v>
      </c>
      <c r="C601" s="9" t="s">
        <v>255</v>
      </c>
      <c r="D601" s="1" t="s">
        <v>223</v>
      </c>
      <c r="E601" s="11" t="s">
        <v>13</v>
      </c>
      <c r="F601" s="1">
        <v>3.33</v>
      </c>
    </row>
    <row r="602" spans="1:8" x14ac:dyDescent="0.35">
      <c r="A602" s="16">
        <v>46312</v>
      </c>
      <c r="B602" t="s">
        <v>10</v>
      </c>
      <c r="C602" s="9" t="s">
        <v>255</v>
      </c>
      <c r="D602" s="1" t="s">
        <v>253</v>
      </c>
      <c r="E602" s="11" t="s">
        <v>13</v>
      </c>
      <c r="F602" s="1">
        <v>0.13</v>
      </c>
      <c r="G602" s="14" t="s">
        <v>461</v>
      </c>
    </row>
    <row r="603" spans="1:8" x14ac:dyDescent="0.35">
      <c r="A603" t="s">
        <v>462</v>
      </c>
      <c r="B603" t="s">
        <v>10</v>
      </c>
      <c r="C603" s="9" t="s">
        <v>249</v>
      </c>
      <c r="D603" s="1" t="s">
        <v>36</v>
      </c>
      <c r="E603" s="11" t="s">
        <v>17</v>
      </c>
      <c r="F603" s="1" t="s">
        <v>14</v>
      </c>
      <c r="G603" s="14" t="s">
        <v>463</v>
      </c>
      <c r="H603" t="s">
        <v>189</v>
      </c>
    </row>
    <row r="604" spans="1:8" x14ac:dyDescent="0.35">
      <c r="A604" t="s">
        <v>462</v>
      </c>
      <c r="B604" t="s">
        <v>10</v>
      </c>
      <c r="C604" s="9" t="s">
        <v>249</v>
      </c>
      <c r="D604" s="1" t="s">
        <v>114</v>
      </c>
      <c r="E604" s="11" t="s">
        <v>13</v>
      </c>
      <c r="F604" s="1" t="s">
        <v>464</v>
      </c>
      <c r="G604" s="14" t="s">
        <v>465</v>
      </c>
    </row>
    <row r="605" spans="1:8" x14ac:dyDescent="0.35">
      <c r="A605" t="s">
        <v>462</v>
      </c>
      <c r="B605" t="s">
        <v>10</v>
      </c>
      <c r="C605" s="9" t="s">
        <v>249</v>
      </c>
      <c r="D605" s="1" t="s">
        <v>24</v>
      </c>
      <c r="E605" s="11" t="s">
        <v>13</v>
      </c>
      <c r="F605" s="1" t="s">
        <v>466</v>
      </c>
      <c r="G605" s="14" t="s">
        <v>14</v>
      </c>
    </row>
    <row r="606" spans="1:8" x14ac:dyDescent="0.35">
      <c r="A606" t="s">
        <v>462</v>
      </c>
      <c r="B606" t="s">
        <v>10</v>
      </c>
      <c r="C606" s="9" t="s">
        <v>249</v>
      </c>
      <c r="D606" s="1" t="s">
        <v>34</v>
      </c>
      <c r="E606" s="11" t="s">
        <v>13</v>
      </c>
      <c r="F606" s="1" t="s">
        <v>467</v>
      </c>
      <c r="G606" s="14" t="s">
        <v>14</v>
      </c>
    </row>
    <row r="607" spans="1:8" x14ac:dyDescent="0.35">
      <c r="A607" t="s">
        <v>462</v>
      </c>
      <c r="B607" t="s">
        <v>271</v>
      </c>
      <c r="C607" s="9" t="s">
        <v>249</v>
      </c>
      <c r="D607" s="1" t="s">
        <v>94</v>
      </c>
      <c r="E607" s="11" t="s">
        <v>17</v>
      </c>
      <c r="F607" s="1" t="s">
        <v>14</v>
      </c>
      <c r="G607" s="14" t="s">
        <v>468</v>
      </c>
      <c r="H607" t="s">
        <v>190</v>
      </c>
    </row>
    <row r="608" spans="1:8" x14ac:dyDescent="0.35">
      <c r="A608" t="s">
        <v>462</v>
      </c>
      <c r="B608" t="s">
        <v>18</v>
      </c>
      <c r="C608" s="9" t="s">
        <v>249</v>
      </c>
      <c r="D608" s="1" t="s">
        <v>122</v>
      </c>
      <c r="E608" s="11" t="s">
        <v>13</v>
      </c>
      <c r="F608" s="1" t="s">
        <v>469</v>
      </c>
      <c r="G608" s="14" t="s">
        <v>14</v>
      </c>
    </row>
    <row r="609" spans="1:8" x14ac:dyDescent="0.35">
      <c r="A609" t="s">
        <v>462</v>
      </c>
      <c r="B609" t="s">
        <v>18</v>
      </c>
      <c r="C609" s="9" t="s">
        <v>249</v>
      </c>
      <c r="D609" s="1" t="s">
        <v>40</v>
      </c>
      <c r="E609" s="11" t="s">
        <v>13</v>
      </c>
      <c r="F609" s="1">
        <v>4.22</v>
      </c>
    </row>
    <row r="610" spans="1:8" x14ac:dyDescent="0.35">
      <c r="A610" t="s">
        <v>462</v>
      </c>
      <c r="B610" t="s">
        <v>18</v>
      </c>
      <c r="C610" s="9" t="s">
        <v>249</v>
      </c>
      <c r="D610" s="1" t="s">
        <v>103</v>
      </c>
      <c r="E610" s="11" t="s">
        <v>13</v>
      </c>
      <c r="F610" s="1" t="s">
        <v>470</v>
      </c>
      <c r="G610" s="14" t="s">
        <v>471</v>
      </c>
    </row>
    <row r="611" spans="1:8" x14ac:dyDescent="0.35">
      <c r="A611" t="s">
        <v>462</v>
      </c>
      <c r="B611" t="s">
        <v>18</v>
      </c>
      <c r="C611" s="9" t="s">
        <v>249</v>
      </c>
      <c r="D611" s="1" t="s">
        <v>24</v>
      </c>
      <c r="E611" s="11" t="s">
        <v>17</v>
      </c>
      <c r="F611" s="1" t="s">
        <v>14</v>
      </c>
      <c r="G611" s="14" t="s">
        <v>141</v>
      </c>
      <c r="H611" t="s">
        <v>190</v>
      </c>
    </row>
    <row r="612" spans="1:8" x14ac:dyDescent="0.35">
      <c r="A612" t="s">
        <v>462</v>
      </c>
      <c r="B612" t="s">
        <v>18</v>
      </c>
      <c r="C612" s="9" t="s">
        <v>249</v>
      </c>
      <c r="D612" s="1" t="s">
        <v>29</v>
      </c>
      <c r="E612" s="11" t="s">
        <v>17</v>
      </c>
      <c r="F612" s="1" t="s">
        <v>14</v>
      </c>
      <c r="G612" s="14" t="s">
        <v>141</v>
      </c>
      <c r="H612" t="s">
        <v>190</v>
      </c>
    </row>
    <row r="613" spans="1:8" x14ac:dyDescent="0.35">
      <c r="A613" t="s">
        <v>462</v>
      </c>
      <c r="B613" t="s">
        <v>10</v>
      </c>
      <c r="C613" s="9" t="s">
        <v>249</v>
      </c>
      <c r="D613" s="1" t="s">
        <v>15</v>
      </c>
      <c r="E613" s="11" t="s">
        <v>13</v>
      </c>
      <c r="F613" s="1" t="s">
        <v>472</v>
      </c>
      <c r="G613" s="14" t="s">
        <v>14</v>
      </c>
    </row>
    <row r="614" spans="1:8" x14ac:dyDescent="0.35">
      <c r="A614" t="s">
        <v>462</v>
      </c>
      <c r="B614" t="s">
        <v>18</v>
      </c>
      <c r="C614" s="9" t="s">
        <v>249</v>
      </c>
      <c r="D614" s="1" t="s">
        <v>24</v>
      </c>
      <c r="E614" s="11" t="s">
        <v>17</v>
      </c>
      <c r="F614" s="1" t="s">
        <v>14</v>
      </c>
      <c r="G614" s="14" t="s">
        <v>473</v>
      </c>
      <c r="H614" t="s">
        <v>190</v>
      </c>
    </row>
    <row r="615" spans="1:8" x14ac:dyDescent="0.35">
      <c r="A615" t="s">
        <v>462</v>
      </c>
      <c r="B615" t="s">
        <v>18</v>
      </c>
      <c r="C615" s="9" t="s">
        <v>249</v>
      </c>
      <c r="D615" s="1" t="s">
        <v>29</v>
      </c>
      <c r="E615" s="11" t="s">
        <v>17</v>
      </c>
      <c r="F615" s="1" t="s">
        <v>14</v>
      </c>
      <c r="G615" s="14" t="s">
        <v>155</v>
      </c>
      <c r="H615" t="s">
        <v>192</v>
      </c>
    </row>
    <row r="616" spans="1:8" x14ac:dyDescent="0.35">
      <c r="A616" t="s">
        <v>485</v>
      </c>
      <c r="B616" t="s">
        <v>10</v>
      </c>
      <c r="C616" s="9" t="s">
        <v>31</v>
      </c>
      <c r="D616" s="1" t="s">
        <v>273</v>
      </c>
      <c r="E616" s="11" t="s">
        <v>17</v>
      </c>
      <c r="G616" s="14" t="s">
        <v>477</v>
      </c>
      <c r="H616" t="s">
        <v>189</v>
      </c>
    </row>
    <row r="617" spans="1:8" x14ac:dyDescent="0.35">
      <c r="A617" t="s">
        <v>485</v>
      </c>
      <c r="B617" t="s">
        <v>10</v>
      </c>
      <c r="C617" s="9" t="s">
        <v>31</v>
      </c>
      <c r="D617" s="1" t="s">
        <v>299</v>
      </c>
      <c r="E617" s="11" t="s">
        <v>17</v>
      </c>
      <c r="G617" s="14" t="s">
        <v>478</v>
      </c>
      <c r="H617" t="s">
        <v>190</v>
      </c>
    </row>
    <row r="618" spans="1:8" x14ac:dyDescent="0.35">
      <c r="A618" t="s">
        <v>485</v>
      </c>
      <c r="B618" t="s">
        <v>10</v>
      </c>
      <c r="C618" s="9" t="s">
        <v>31</v>
      </c>
      <c r="D618" s="1" t="s">
        <v>438</v>
      </c>
      <c r="E618" s="11" t="s">
        <v>17</v>
      </c>
      <c r="G618" s="14" t="s">
        <v>383</v>
      </c>
      <c r="H618" t="s">
        <v>189</v>
      </c>
    </row>
    <row r="619" spans="1:8" x14ac:dyDescent="0.35">
      <c r="A619" t="s">
        <v>485</v>
      </c>
      <c r="B619" t="s">
        <v>10</v>
      </c>
      <c r="C619" s="9" t="s">
        <v>31</v>
      </c>
      <c r="D619" s="1" t="s">
        <v>479</v>
      </c>
      <c r="E619" s="11" t="s">
        <v>17</v>
      </c>
      <c r="G619" s="14" t="s">
        <v>480</v>
      </c>
      <c r="H619" t="s">
        <v>190</v>
      </c>
    </row>
    <row r="620" spans="1:8" x14ac:dyDescent="0.35">
      <c r="A620" t="s">
        <v>485</v>
      </c>
      <c r="B620" t="s">
        <v>10</v>
      </c>
      <c r="C620" s="9" t="s">
        <v>31</v>
      </c>
      <c r="D620" s="1" t="s">
        <v>439</v>
      </c>
      <c r="E620" s="11" t="s">
        <v>17</v>
      </c>
      <c r="G620" s="14" t="s">
        <v>480</v>
      </c>
      <c r="H620" t="s">
        <v>190</v>
      </c>
    </row>
    <row r="621" spans="1:8" x14ac:dyDescent="0.35">
      <c r="A621" t="s">
        <v>485</v>
      </c>
      <c r="B621" t="s">
        <v>18</v>
      </c>
      <c r="C621" s="9" t="s">
        <v>31</v>
      </c>
      <c r="D621" s="1" t="s">
        <v>166</v>
      </c>
      <c r="E621" s="11" t="s">
        <v>17</v>
      </c>
      <c r="G621" s="14" t="s">
        <v>102</v>
      </c>
      <c r="H621" t="s">
        <v>192</v>
      </c>
    </row>
    <row r="622" spans="1:8" x14ac:dyDescent="0.35">
      <c r="A622" t="s">
        <v>485</v>
      </c>
      <c r="B622" t="s">
        <v>18</v>
      </c>
      <c r="C622" s="9" t="s">
        <v>31</v>
      </c>
      <c r="D622" s="1" t="s">
        <v>127</v>
      </c>
      <c r="E622" s="11" t="s">
        <v>17</v>
      </c>
      <c r="G622" s="14" t="s">
        <v>102</v>
      </c>
      <c r="H622" t="s">
        <v>192</v>
      </c>
    </row>
    <row r="623" spans="1:8" x14ac:dyDescent="0.35">
      <c r="A623" t="s">
        <v>485</v>
      </c>
      <c r="B623" t="s">
        <v>18</v>
      </c>
      <c r="C623" s="9" t="s">
        <v>31</v>
      </c>
      <c r="D623" s="1" t="s">
        <v>129</v>
      </c>
      <c r="E623" s="11" t="s">
        <v>13</v>
      </c>
      <c r="F623" s="1">
        <v>5</v>
      </c>
      <c r="G623" s="14" t="s">
        <v>481</v>
      </c>
    </row>
    <row r="624" spans="1:8" x14ac:dyDescent="0.35">
      <c r="A624" t="s">
        <v>485</v>
      </c>
      <c r="B624" t="s">
        <v>18</v>
      </c>
      <c r="C624" s="9" t="s">
        <v>31</v>
      </c>
      <c r="D624" s="1" t="s">
        <v>256</v>
      </c>
      <c r="E624" s="11" t="s">
        <v>13</v>
      </c>
      <c r="F624" s="1">
        <v>3.3</v>
      </c>
      <c r="G624" s="14" t="s">
        <v>482</v>
      </c>
    </row>
    <row r="625" spans="1:8" x14ac:dyDescent="0.35">
      <c r="A625" t="s">
        <v>485</v>
      </c>
      <c r="B625" t="s">
        <v>18</v>
      </c>
      <c r="C625" s="9" t="s">
        <v>31</v>
      </c>
      <c r="D625" s="1" t="s">
        <v>312</v>
      </c>
      <c r="E625" s="11" t="s">
        <v>17</v>
      </c>
      <c r="G625" s="14" t="s">
        <v>383</v>
      </c>
      <c r="H625" t="s">
        <v>189</v>
      </c>
    </row>
    <row r="626" spans="1:8" x14ac:dyDescent="0.35">
      <c r="A626" t="s">
        <v>485</v>
      </c>
      <c r="B626" t="s">
        <v>10</v>
      </c>
      <c r="C626" s="9" t="s">
        <v>31</v>
      </c>
      <c r="D626" s="1" t="s">
        <v>299</v>
      </c>
      <c r="E626" s="11" t="s">
        <v>13</v>
      </c>
      <c r="F626" s="1">
        <v>1.62</v>
      </c>
    </row>
    <row r="627" spans="1:8" x14ac:dyDescent="0.35">
      <c r="A627" t="s">
        <v>485</v>
      </c>
      <c r="B627" t="s">
        <v>10</v>
      </c>
      <c r="C627" s="9" t="s">
        <v>31</v>
      </c>
      <c r="D627" s="1" t="s">
        <v>479</v>
      </c>
      <c r="E627" s="11" t="s">
        <v>17</v>
      </c>
      <c r="G627" s="14" t="s">
        <v>480</v>
      </c>
      <c r="H627" t="s">
        <v>190</v>
      </c>
    </row>
    <row r="628" spans="1:8" x14ac:dyDescent="0.35">
      <c r="A628" t="s">
        <v>485</v>
      </c>
      <c r="B628" t="s">
        <v>10</v>
      </c>
      <c r="C628" s="9" t="s">
        <v>31</v>
      </c>
      <c r="D628" s="1" t="s">
        <v>439</v>
      </c>
      <c r="E628" s="11" t="s">
        <v>17</v>
      </c>
      <c r="G628" s="14" t="s">
        <v>483</v>
      </c>
      <c r="H628" t="s">
        <v>189</v>
      </c>
    </row>
    <row r="629" spans="1:8" x14ac:dyDescent="0.35">
      <c r="A629" t="s">
        <v>485</v>
      </c>
      <c r="B629" t="s">
        <v>10</v>
      </c>
      <c r="C629" s="9" t="s">
        <v>31</v>
      </c>
      <c r="D629" s="1" t="s">
        <v>432</v>
      </c>
      <c r="E629" s="11" t="s">
        <v>13</v>
      </c>
      <c r="F629" s="1">
        <v>1.31</v>
      </c>
    </row>
    <row r="630" spans="1:8" x14ac:dyDescent="0.35">
      <c r="A630" t="s">
        <v>485</v>
      </c>
      <c r="B630" t="s">
        <v>271</v>
      </c>
      <c r="C630" s="9" t="s">
        <v>31</v>
      </c>
      <c r="D630" s="1" t="s">
        <v>308</v>
      </c>
      <c r="E630" s="11" t="s">
        <v>17</v>
      </c>
      <c r="G630" s="14" t="s">
        <v>484</v>
      </c>
      <c r="H630" t="s">
        <v>194</v>
      </c>
    </row>
    <row r="631" spans="1:8" x14ac:dyDescent="0.35">
      <c r="A631" t="s">
        <v>485</v>
      </c>
      <c r="B631" t="s">
        <v>18</v>
      </c>
      <c r="C631" s="9" t="s">
        <v>354</v>
      </c>
      <c r="D631" s="1" t="s">
        <v>166</v>
      </c>
      <c r="E631" s="11" t="s">
        <v>13</v>
      </c>
      <c r="F631" s="1">
        <v>2.39</v>
      </c>
      <c r="G631" s="14" t="s">
        <v>383</v>
      </c>
    </row>
    <row r="632" spans="1:8" x14ac:dyDescent="0.35">
      <c r="A632" t="s">
        <v>485</v>
      </c>
      <c r="B632" t="s">
        <v>18</v>
      </c>
      <c r="C632" s="9" t="s">
        <v>354</v>
      </c>
      <c r="D632" s="1" t="s">
        <v>127</v>
      </c>
      <c r="E632" s="11" t="s">
        <v>13</v>
      </c>
      <c r="F632" s="1">
        <v>4.2</v>
      </c>
      <c r="G632" s="14" t="s">
        <v>486</v>
      </c>
    </row>
    <row r="633" spans="1:8" x14ac:dyDescent="0.35">
      <c r="A633" t="s">
        <v>485</v>
      </c>
      <c r="B633" t="s">
        <v>10</v>
      </c>
      <c r="C633" s="9" t="s">
        <v>354</v>
      </c>
      <c r="D633" s="1" t="s">
        <v>149</v>
      </c>
      <c r="E633" s="11" t="s">
        <v>13</v>
      </c>
      <c r="F633" s="1">
        <v>1.52</v>
      </c>
      <c r="G633" s="14" t="s">
        <v>487</v>
      </c>
    </row>
    <row r="634" spans="1:8" x14ac:dyDescent="0.35">
      <c r="A634" t="s">
        <v>485</v>
      </c>
      <c r="B634" t="s">
        <v>10</v>
      </c>
      <c r="C634" s="9" t="s">
        <v>354</v>
      </c>
      <c r="D634" s="1" t="s">
        <v>479</v>
      </c>
      <c r="E634" s="11" t="s">
        <v>13</v>
      </c>
      <c r="F634" s="1">
        <v>2.74</v>
      </c>
      <c r="G634" s="14" t="s">
        <v>488</v>
      </c>
    </row>
    <row r="635" spans="1:8" x14ac:dyDescent="0.35">
      <c r="A635" t="s">
        <v>489</v>
      </c>
      <c r="B635" t="s">
        <v>10</v>
      </c>
      <c r="C635" s="9" t="s">
        <v>249</v>
      </c>
      <c r="D635" s="1" t="s">
        <v>32</v>
      </c>
      <c r="E635" s="11" t="s">
        <v>13</v>
      </c>
      <c r="F635" s="1" t="s">
        <v>490</v>
      </c>
      <c r="G635" s="14" t="s">
        <v>14</v>
      </c>
    </row>
    <row r="636" spans="1:8" x14ac:dyDescent="0.35">
      <c r="A636" t="s">
        <v>489</v>
      </c>
      <c r="B636" t="s">
        <v>10</v>
      </c>
      <c r="C636" s="9" t="s">
        <v>249</v>
      </c>
      <c r="D636" s="1" t="s">
        <v>37</v>
      </c>
      <c r="E636" s="11" t="s">
        <v>13</v>
      </c>
      <c r="F636" s="1" t="s">
        <v>491</v>
      </c>
      <c r="G636" s="14" t="s">
        <v>14</v>
      </c>
    </row>
    <row r="637" spans="1:8" x14ac:dyDescent="0.35">
      <c r="A637" t="s">
        <v>489</v>
      </c>
      <c r="B637" t="s">
        <v>10</v>
      </c>
      <c r="C637" s="9" t="s">
        <v>249</v>
      </c>
      <c r="D637" s="1" t="s">
        <v>240</v>
      </c>
      <c r="E637" s="11" t="s">
        <v>13</v>
      </c>
      <c r="F637" s="1" t="s">
        <v>492</v>
      </c>
      <c r="G637" s="14" t="s">
        <v>493</v>
      </c>
    </row>
    <row r="638" spans="1:8" x14ac:dyDescent="0.35">
      <c r="A638" t="s">
        <v>489</v>
      </c>
      <c r="B638" t="s">
        <v>10</v>
      </c>
      <c r="C638" s="9" t="s">
        <v>249</v>
      </c>
      <c r="D638" s="1" t="s">
        <v>12</v>
      </c>
      <c r="E638" s="11" t="s">
        <v>13</v>
      </c>
      <c r="F638" s="1" t="s">
        <v>494</v>
      </c>
      <c r="G638" s="14" t="s">
        <v>14</v>
      </c>
    </row>
    <row r="639" spans="1:8" x14ac:dyDescent="0.35">
      <c r="A639" t="s">
        <v>489</v>
      </c>
      <c r="B639" t="s">
        <v>10</v>
      </c>
      <c r="C639" s="9" t="s">
        <v>249</v>
      </c>
      <c r="D639" s="1" t="s">
        <v>15</v>
      </c>
      <c r="E639" s="11" t="s">
        <v>13</v>
      </c>
      <c r="F639" s="1" t="s">
        <v>495</v>
      </c>
      <c r="G639" s="14" t="s">
        <v>496</v>
      </c>
    </row>
    <row r="640" spans="1:8" x14ac:dyDescent="0.35">
      <c r="A640" t="s">
        <v>489</v>
      </c>
      <c r="B640" t="s">
        <v>18</v>
      </c>
      <c r="C640" s="9" t="s">
        <v>249</v>
      </c>
      <c r="D640" s="1" t="s">
        <v>122</v>
      </c>
      <c r="E640" s="11" t="s">
        <v>17</v>
      </c>
      <c r="F640" s="1" t="s">
        <v>14</v>
      </c>
      <c r="G640" s="14" t="s">
        <v>497</v>
      </c>
      <c r="H640" t="s">
        <v>189</v>
      </c>
    </row>
    <row r="641" spans="1:8" x14ac:dyDescent="0.35">
      <c r="A641" t="s">
        <v>489</v>
      </c>
      <c r="B641" t="s">
        <v>18</v>
      </c>
      <c r="C641" s="9" t="s">
        <v>249</v>
      </c>
      <c r="D641" s="1" t="s">
        <v>103</v>
      </c>
      <c r="E641" s="11" t="s">
        <v>17</v>
      </c>
      <c r="F641" s="1" t="s">
        <v>14</v>
      </c>
      <c r="G641" s="14" t="s">
        <v>100</v>
      </c>
      <c r="H641" t="s">
        <v>189</v>
      </c>
    </row>
    <row r="642" spans="1:8" x14ac:dyDescent="0.35">
      <c r="A642" t="s">
        <v>489</v>
      </c>
      <c r="B642" t="s">
        <v>18</v>
      </c>
      <c r="C642" s="9" t="s">
        <v>249</v>
      </c>
      <c r="D642" s="1" t="s">
        <v>24</v>
      </c>
      <c r="E642" s="11" t="s">
        <v>17</v>
      </c>
      <c r="F642" s="1" t="s">
        <v>14</v>
      </c>
      <c r="G642" s="14" t="s">
        <v>141</v>
      </c>
      <c r="H642" t="s">
        <v>190</v>
      </c>
    </row>
    <row r="643" spans="1:8" x14ac:dyDescent="0.35">
      <c r="A643" t="s">
        <v>489</v>
      </c>
      <c r="B643" t="s">
        <v>18</v>
      </c>
      <c r="C643" s="9" t="s">
        <v>249</v>
      </c>
      <c r="D643" s="1" t="s">
        <v>29</v>
      </c>
      <c r="E643" s="11" t="s">
        <v>17</v>
      </c>
      <c r="F643" s="1" t="s">
        <v>14</v>
      </c>
      <c r="G643" s="14" t="s">
        <v>155</v>
      </c>
      <c r="H643" t="s">
        <v>192</v>
      </c>
    </row>
  </sheetData>
  <phoneticPr fontId="4" type="noConversion"/>
  <pageMargins left="0.7" right="0.7" top="0.75" bottom="0.75" header="0.3" footer="0.3"/>
  <pageSetup orientation="portrait" verticalDpi="0" r:id="rId1"/>
  <ignoredErrors>
    <ignoredError sqref="A16:E17 A26:E30 A24:E25 A39:E40 A1:B1 A19:E21 A18:E18 A23:E23 A22:E22 A33:E37 A32:E32 G32 G16:G17 G26:G30 G1 G19:G21 G23 G33:G38 A38:D38 D1:E1 D423 A31:E31 G31" numberStoredAsText="1"/>
  </ignoredErrors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errorTitle="Column E must say No" xr:uid="{0C093736-3298-43C2-BC09-4741E1E195E2}">
          <x14:formula1>
            <xm:f>IF($E2="No", 'Data Dictionary'!$A$25:$A$30, 'Data Dictionary'!$A$32)</xm:f>
          </x14:formula1>
          <xm:sqref>H2:H432</xm:sqref>
        </x14:dataValidation>
        <x14:dataValidation type="list" allowBlank="1" showInputMessage="1" showErrorMessage="1" errorTitle="Check column E" error="Free-text now allowed. Use column G &quot;Notes&quot; to free type." xr:uid="{E0C106E4-13F5-461C-BCAD-1CAD6FA54269}">
          <x14:formula1>
            <xm:f>IF($E1048486="No", 'Data Dictionary'!$A$25:$A$30, 'Data Dictionary'!$A$32)</xm:f>
          </x14:formula1>
          <xm:sqref>H1</xm:sqref>
        </x14:dataValidation>
        <x14:dataValidation type="list" allowBlank="1" showInputMessage="1" showErrorMessage="1" errorTitle="Check column E" error="Free-text now allowed. Use column G &quot;Notes&quot; to free type." xr:uid="{F3F33850-A3A8-430F-9647-994BBF738E33}">
          <x14:formula1>
            <xm:f>IF($E433="No", 'Data Dictionary'!$A$25:$A$30, 'Data Dictionary'!$A$32)</xm:f>
          </x14:formula1>
          <xm:sqref>H433:H667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BDDD7-65A5-4F9A-8645-E6E255B43C11}">
  <dimension ref="A1:H181"/>
  <sheetViews>
    <sheetView workbookViewId="0">
      <pane xSplit="1" ySplit="1" topLeftCell="B152" activePane="bottomRight" state="frozen"/>
      <selection pane="topRight" activeCell="B1" sqref="B1"/>
      <selection pane="bottomLeft" activeCell="A2" sqref="A2"/>
      <selection pane="bottomRight" activeCell="A180" sqref="A180:G181"/>
    </sheetView>
  </sheetViews>
  <sheetFormatPr defaultRowHeight="15.5" x14ac:dyDescent="0.35"/>
  <cols>
    <col min="1" max="1" width="12.75" customWidth="1"/>
    <col min="2" max="2" width="18.75" style="6" customWidth="1"/>
    <col min="3" max="3" width="12.08203125" style="11" bestFit="1" customWidth="1"/>
    <col min="4" max="4" width="17.25" style="1" bestFit="1" customWidth="1"/>
    <col min="5" max="5" width="12.33203125" style="1" bestFit="1" customWidth="1"/>
    <col min="6" max="6" width="18.33203125" style="1" bestFit="1" customWidth="1"/>
    <col min="7" max="7" width="19.33203125" style="1" bestFit="1" customWidth="1"/>
  </cols>
  <sheetData>
    <row r="1" spans="1:7" s="3" customFormat="1" x14ac:dyDescent="0.35">
      <c r="A1" s="3" t="s">
        <v>0</v>
      </c>
      <c r="B1" s="5" t="s">
        <v>1</v>
      </c>
      <c r="C1" s="10" t="s">
        <v>2</v>
      </c>
      <c r="D1" s="4" t="s">
        <v>64</v>
      </c>
      <c r="E1" s="4" t="s">
        <v>67</v>
      </c>
      <c r="F1" s="4" t="s">
        <v>69</v>
      </c>
      <c r="G1" s="4" t="s">
        <v>83</v>
      </c>
    </row>
    <row r="2" spans="1:7" x14ac:dyDescent="0.35">
      <c r="A2" t="s">
        <v>342</v>
      </c>
      <c r="D2" s="1">
        <v>12</v>
      </c>
      <c r="E2" s="1">
        <v>8</v>
      </c>
      <c r="F2" s="1">
        <f t="shared" ref="F2:F7" si="0">IFERROR(D2-E2,0)</f>
        <v>4</v>
      </c>
      <c r="G2" s="2">
        <v>70</v>
      </c>
    </row>
    <row r="3" spans="1:7" x14ac:dyDescent="0.35">
      <c r="A3" t="s">
        <v>343</v>
      </c>
      <c r="D3" s="1">
        <v>8</v>
      </c>
      <c r="E3" s="1">
        <v>8</v>
      </c>
      <c r="F3" s="1">
        <f t="shared" si="0"/>
        <v>0</v>
      </c>
      <c r="G3" s="2"/>
    </row>
    <row r="4" spans="1:7" x14ac:dyDescent="0.35">
      <c r="A4" t="s">
        <v>344</v>
      </c>
      <c r="D4" s="1">
        <v>8</v>
      </c>
      <c r="E4" s="1">
        <v>8</v>
      </c>
      <c r="F4" s="1">
        <f t="shared" si="0"/>
        <v>0</v>
      </c>
      <c r="G4" s="2"/>
    </row>
    <row r="5" spans="1:7" x14ac:dyDescent="0.35">
      <c r="A5" t="s">
        <v>345</v>
      </c>
      <c r="D5" s="1">
        <v>9</v>
      </c>
      <c r="E5" s="1">
        <v>9</v>
      </c>
      <c r="F5" s="1">
        <f t="shared" si="0"/>
        <v>0</v>
      </c>
      <c r="G5" s="2"/>
    </row>
    <row r="6" spans="1:7" x14ac:dyDescent="0.35">
      <c r="A6" t="s">
        <v>346</v>
      </c>
      <c r="D6" s="1">
        <v>9</v>
      </c>
      <c r="E6" s="1">
        <v>8</v>
      </c>
      <c r="F6" s="1">
        <f t="shared" si="0"/>
        <v>1</v>
      </c>
      <c r="G6" s="2"/>
    </row>
    <row r="7" spans="1:7" x14ac:dyDescent="0.35">
      <c r="A7" t="s">
        <v>347</v>
      </c>
      <c r="D7" s="1">
        <v>8</v>
      </c>
      <c r="E7" s="1">
        <v>8</v>
      </c>
      <c r="F7" s="1">
        <f t="shared" si="0"/>
        <v>0</v>
      </c>
      <c r="G7" s="2"/>
    </row>
    <row r="8" spans="1:7" x14ac:dyDescent="0.35">
      <c r="A8" t="s">
        <v>9</v>
      </c>
      <c r="B8" s="6" t="s">
        <v>10</v>
      </c>
      <c r="C8" s="11" t="s">
        <v>22</v>
      </c>
      <c r="D8" s="1">
        <v>4</v>
      </c>
      <c r="E8" s="1">
        <v>4</v>
      </c>
      <c r="F8" s="1">
        <f t="shared" ref="F8:F20" si="1">IFERROR(D8-E8,0)</f>
        <v>0</v>
      </c>
      <c r="G8" s="2">
        <v>17</v>
      </c>
    </row>
    <row r="9" spans="1:7" x14ac:dyDescent="0.35">
      <c r="A9" t="s">
        <v>9</v>
      </c>
      <c r="B9" s="6" t="s">
        <v>18</v>
      </c>
      <c r="C9" s="11" t="s">
        <v>22</v>
      </c>
      <c r="D9" s="1">
        <v>6</v>
      </c>
      <c r="E9" s="1">
        <v>6</v>
      </c>
      <c r="F9" s="1">
        <f t="shared" si="1"/>
        <v>0</v>
      </c>
      <c r="G9" s="2">
        <v>39</v>
      </c>
    </row>
    <row r="10" spans="1:7" x14ac:dyDescent="0.35">
      <c r="A10" t="s">
        <v>9</v>
      </c>
      <c r="B10" s="6" t="s">
        <v>10</v>
      </c>
      <c r="C10" s="11" t="s">
        <v>31</v>
      </c>
      <c r="D10" s="1">
        <v>2</v>
      </c>
      <c r="E10" s="1">
        <v>1</v>
      </c>
      <c r="F10" s="1">
        <f t="shared" si="1"/>
        <v>1</v>
      </c>
      <c r="G10" s="2">
        <v>9</v>
      </c>
    </row>
    <row r="11" spans="1:7" x14ac:dyDescent="0.35">
      <c r="A11" t="s">
        <v>9</v>
      </c>
      <c r="B11" s="6" t="s">
        <v>18</v>
      </c>
      <c r="C11" s="11" t="s">
        <v>31</v>
      </c>
      <c r="D11" s="1">
        <v>1</v>
      </c>
      <c r="E11" s="1">
        <v>0</v>
      </c>
      <c r="F11" s="1">
        <f t="shared" si="1"/>
        <v>1</v>
      </c>
      <c r="G11" s="2">
        <v>1</v>
      </c>
    </row>
    <row r="12" spans="1:7" x14ac:dyDescent="0.35">
      <c r="A12" t="s">
        <v>9</v>
      </c>
      <c r="B12" s="6" t="s">
        <v>10</v>
      </c>
      <c r="C12" s="11" t="s">
        <v>11</v>
      </c>
      <c r="D12" s="1">
        <v>3</v>
      </c>
      <c r="E12" s="1">
        <v>2</v>
      </c>
      <c r="F12" s="1">
        <f t="shared" si="1"/>
        <v>1</v>
      </c>
      <c r="G12" s="2"/>
    </row>
    <row r="13" spans="1:7" x14ac:dyDescent="0.35">
      <c r="A13" t="s">
        <v>9</v>
      </c>
      <c r="B13" s="6" t="s">
        <v>18</v>
      </c>
      <c r="C13" s="11" t="s">
        <v>11</v>
      </c>
      <c r="D13" s="1">
        <v>1</v>
      </c>
      <c r="E13" s="1">
        <v>1</v>
      </c>
      <c r="F13" s="1">
        <f t="shared" si="1"/>
        <v>0</v>
      </c>
      <c r="G13" s="2">
        <v>13</v>
      </c>
    </row>
    <row r="14" spans="1:7" x14ac:dyDescent="0.35">
      <c r="A14" t="s">
        <v>21</v>
      </c>
      <c r="B14" s="6" t="s">
        <v>10</v>
      </c>
      <c r="C14" s="11" t="s">
        <v>22</v>
      </c>
      <c r="D14" s="1">
        <v>3</v>
      </c>
      <c r="E14" s="1">
        <v>2</v>
      </c>
      <c r="F14" s="1">
        <f t="shared" si="1"/>
        <v>1</v>
      </c>
      <c r="G14" s="2"/>
    </row>
    <row r="15" spans="1:7" x14ac:dyDescent="0.35">
      <c r="A15" t="s">
        <v>21</v>
      </c>
      <c r="B15" s="6" t="s">
        <v>10</v>
      </c>
      <c r="C15" s="11" t="s">
        <v>11</v>
      </c>
      <c r="D15" s="1">
        <v>3</v>
      </c>
      <c r="E15" s="1">
        <v>2</v>
      </c>
      <c r="F15" s="1">
        <f t="shared" si="1"/>
        <v>1</v>
      </c>
      <c r="G15" s="2"/>
    </row>
    <row r="16" spans="1:7" x14ac:dyDescent="0.35">
      <c r="A16" t="s">
        <v>21</v>
      </c>
      <c r="B16" s="6" t="s">
        <v>18</v>
      </c>
      <c r="C16" s="11" t="s">
        <v>11</v>
      </c>
      <c r="D16" s="1">
        <v>3</v>
      </c>
      <c r="E16" s="1">
        <v>2</v>
      </c>
      <c r="F16" s="1">
        <v>1</v>
      </c>
      <c r="G16" s="2"/>
    </row>
    <row r="17" spans="1:7" x14ac:dyDescent="0.35">
      <c r="A17" t="s">
        <v>30</v>
      </c>
      <c r="B17" s="6" t="s">
        <v>10</v>
      </c>
      <c r="C17" s="11" t="s">
        <v>31</v>
      </c>
      <c r="D17" s="1">
        <v>4</v>
      </c>
      <c r="E17" s="1">
        <v>3</v>
      </c>
      <c r="F17" s="1">
        <f t="shared" si="1"/>
        <v>1</v>
      </c>
      <c r="G17" s="2">
        <v>37</v>
      </c>
    </row>
    <row r="18" spans="1:7" x14ac:dyDescent="0.35">
      <c r="A18" t="s">
        <v>30</v>
      </c>
      <c r="B18" s="6" t="s">
        <v>18</v>
      </c>
      <c r="C18" s="11" t="s">
        <v>31</v>
      </c>
      <c r="D18" s="1">
        <v>1</v>
      </c>
      <c r="E18" s="1">
        <v>1</v>
      </c>
      <c r="F18" s="1">
        <f t="shared" si="1"/>
        <v>0</v>
      </c>
      <c r="G18" s="2">
        <v>8</v>
      </c>
    </row>
    <row r="19" spans="1:7" x14ac:dyDescent="0.35">
      <c r="A19" t="s">
        <v>35</v>
      </c>
      <c r="B19" s="6" t="s">
        <v>10</v>
      </c>
      <c r="C19" s="11" t="s">
        <v>22</v>
      </c>
      <c r="D19" s="1">
        <v>4</v>
      </c>
      <c r="E19" s="1">
        <v>4</v>
      </c>
      <c r="F19" s="1">
        <f t="shared" si="1"/>
        <v>0</v>
      </c>
      <c r="G19" s="2">
        <v>20</v>
      </c>
    </row>
    <row r="20" spans="1:7" x14ac:dyDescent="0.35">
      <c r="A20" t="s">
        <v>35</v>
      </c>
      <c r="B20" s="6" t="s">
        <v>18</v>
      </c>
      <c r="C20" s="11" t="s">
        <v>22</v>
      </c>
      <c r="D20" s="1">
        <v>3</v>
      </c>
      <c r="E20" s="1">
        <v>0</v>
      </c>
      <c r="F20" s="1">
        <f t="shared" si="1"/>
        <v>3</v>
      </c>
      <c r="G20" s="2">
        <v>2</v>
      </c>
    </row>
    <row r="21" spans="1:7" x14ac:dyDescent="0.35">
      <c r="A21" t="s">
        <v>93</v>
      </c>
      <c r="B21" s="6" t="s">
        <v>10</v>
      </c>
      <c r="C21" s="11" t="s">
        <v>31</v>
      </c>
      <c r="D21" s="1">
        <v>3</v>
      </c>
      <c r="E21" s="1">
        <v>3</v>
      </c>
      <c r="F21" s="1">
        <v>0</v>
      </c>
      <c r="G21" s="1">
        <v>42.62</v>
      </c>
    </row>
    <row r="22" spans="1:7" x14ac:dyDescent="0.35">
      <c r="A22" t="s">
        <v>93</v>
      </c>
      <c r="B22" s="6" t="s">
        <v>10</v>
      </c>
      <c r="C22" s="11" t="s">
        <v>11</v>
      </c>
      <c r="D22" s="1">
        <v>2</v>
      </c>
      <c r="E22" s="1">
        <v>2</v>
      </c>
      <c r="F22" s="1">
        <v>0</v>
      </c>
      <c r="G22" s="1">
        <v>19.12</v>
      </c>
    </row>
    <row r="23" spans="1:7" x14ac:dyDescent="0.35">
      <c r="A23" t="s">
        <v>93</v>
      </c>
      <c r="B23" s="6" t="s">
        <v>18</v>
      </c>
      <c r="C23" s="11" t="s">
        <v>11</v>
      </c>
      <c r="D23" s="1">
        <v>4</v>
      </c>
      <c r="E23" s="1">
        <v>2</v>
      </c>
      <c r="F23" s="1">
        <v>2</v>
      </c>
      <c r="G23" s="1">
        <v>11.43</v>
      </c>
    </row>
    <row r="24" spans="1:7" x14ac:dyDescent="0.35">
      <c r="A24" t="s">
        <v>99</v>
      </c>
      <c r="B24" s="6" t="s">
        <v>10</v>
      </c>
      <c r="C24" s="11" t="s">
        <v>11</v>
      </c>
      <c r="D24" s="1">
        <v>4</v>
      </c>
      <c r="E24" s="1">
        <v>2</v>
      </c>
      <c r="F24" s="1">
        <v>2</v>
      </c>
      <c r="G24" s="1">
        <v>19.03</v>
      </c>
    </row>
    <row r="25" spans="1:7" x14ac:dyDescent="0.35">
      <c r="A25" t="s">
        <v>99</v>
      </c>
      <c r="B25" s="6" t="s">
        <v>18</v>
      </c>
      <c r="C25" s="11" t="s">
        <v>11</v>
      </c>
      <c r="D25" s="1">
        <v>5</v>
      </c>
      <c r="E25" s="1">
        <v>1</v>
      </c>
      <c r="F25" s="1">
        <v>4</v>
      </c>
      <c r="G25" s="1">
        <v>10.49</v>
      </c>
    </row>
    <row r="26" spans="1:7" x14ac:dyDescent="0.35">
      <c r="A26" t="s">
        <v>107</v>
      </c>
      <c r="B26" s="6" t="s">
        <v>10</v>
      </c>
      <c r="C26" s="11" t="s">
        <v>11</v>
      </c>
      <c r="D26" s="1">
        <v>3</v>
      </c>
      <c r="E26" s="1">
        <v>1</v>
      </c>
      <c r="F26" s="1">
        <v>2</v>
      </c>
      <c r="G26" s="1">
        <v>5.24</v>
      </c>
    </row>
    <row r="27" spans="1:7" x14ac:dyDescent="0.35">
      <c r="A27" t="s">
        <v>107</v>
      </c>
      <c r="B27" s="6" t="s">
        <v>18</v>
      </c>
      <c r="C27" s="11" t="s">
        <v>11</v>
      </c>
      <c r="D27" s="1">
        <v>2</v>
      </c>
      <c r="E27" s="1">
        <v>2</v>
      </c>
      <c r="F27" s="1">
        <v>0</v>
      </c>
      <c r="G27" s="1">
        <v>28.65</v>
      </c>
    </row>
    <row r="28" spans="1:7" x14ac:dyDescent="0.35">
      <c r="A28" t="s">
        <v>109</v>
      </c>
      <c r="B28" s="6" t="s">
        <v>10</v>
      </c>
      <c r="C28" s="11" t="s">
        <v>11</v>
      </c>
      <c r="D28" s="1">
        <v>8</v>
      </c>
      <c r="E28" s="1">
        <v>7</v>
      </c>
      <c r="F28" s="1">
        <v>1</v>
      </c>
      <c r="G28" s="1">
        <v>43.78</v>
      </c>
    </row>
    <row r="29" spans="1:7" x14ac:dyDescent="0.35">
      <c r="A29" t="s">
        <v>109</v>
      </c>
      <c r="B29" s="6" t="s">
        <v>18</v>
      </c>
      <c r="C29" s="11" t="s">
        <v>11</v>
      </c>
      <c r="D29" s="1">
        <v>2</v>
      </c>
      <c r="E29" s="1">
        <v>2</v>
      </c>
      <c r="F29" s="1">
        <v>0</v>
      </c>
      <c r="G29" s="1">
        <v>14.24</v>
      </c>
    </row>
    <row r="30" spans="1:7" x14ac:dyDescent="0.35">
      <c r="A30" t="s">
        <v>115</v>
      </c>
      <c r="B30" s="6" t="s">
        <v>10</v>
      </c>
      <c r="C30" s="11" t="s">
        <v>11</v>
      </c>
      <c r="D30" s="1">
        <v>8</v>
      </c>
      <c r="E30" s="1">
        <v>8</v>
      </c>
      <c r="F30" s="1">
        <v>0</v>
      </c>
      <c r="G30" s="1">
        <v>45.85</v>
      </c>
    </row>
    <row r="31" spans="1:7" x14ac:dyDescent="0.35">
      <c r="A31" t="s">
        <v>117</v>
      </c>
      <c r="B31" t="s">
        <v>10</v>
      </c>
      <c r="C31" s="11" t="s">
        <v>11</v>
      </c>
      <c r="D31" s="1">
        <v>5</v>
      </c>
      <c r="E31" s="1">
        <v>3</v>
      </c>
      <c r="F31" s="1">
        <v>2</v>
      </c>
      <c r="G31" s="1">
        <v>9.7799999999999994</v>
      </c>
    </row>
    <row r="32" spans="1:7" x14ac:dyDescent="0.35">
      <c r="A32" t="s">
        <v>117</v>
      </c>
      <c r="B32" t="s">
        <v>18</v>
      </c>
      <c r="C32" s="11" t="s">
        <v>11</v>
      </c>
      <c r="D32" s="1">
        <v>5</v>
      </c>
      <c r="E32" s="1">
        <v>5</v>
      </c>
      <c r="F32" s="1">
        <v>0</v>
      </c>
      <c r="G32" s="1">
        <v>19.78</v>
      </c>
    </row>
    <row r="33" spans="1:7" x14ac:dyDescent="0.35">
      <c r="A33" t="s">
        <v>118</v>
      </c>
      <c r="B33" t="s">
        <v>10</v>
      </c>
      <c r="C33" s="11" t="s">
        <v>11</v>
      </c>
      <c r="D33" s="1">
        <v>2</v>
      </c>
      <c r="E33" s="1">
        <v>1</v>
      </c>
      <c r="F33" s="1">
        <v>1</v>
      </c>
      <c r="G33" s="1">
        <v>10.45</v>
      </c>
    </row>
    <row r="34" spans="1:7" x14ac:dyDescent="0.35">
      <c r="A34" t="s">
        <v>118</v>
      </c>
      <c r="B34" t="s">
        <v>18</v>
      </c>
      <c r="C34" s="11" t="s">
        <v>11</v>
      </c>
      <c r="D34" s="1">
        <v>4</v>
      </c>
      <c r="E34" s="1">
        <v>2</v>
      </c>
      <c r="F34" s="1">
        <v>2</v>
      </c>
      <c r="G34" s="1">
        <v>20.83</v>
      </c>
    </row>
    <row r="35" spans="1:7" x14ac:dyDescent="0.35">
      <c r="A35" t="s">
        <v>327</v>
      </c>
      <c r="B35" s="7" t="s">
        <v>18</v>
      </c>
      <c r="C35" s="11" t="s">
        <v>11</v>
      </c>
      <c r="D35" s="8">
        <v>4</v>
      </c>
      <c r="E35" s="8">
        <v>4</v>
      </c>
      <c r="F35" s="8">
        <v>0</v>
      </c>
      <c r="G35" s="13">
        <v>16.02</v>
      </c>
    </row>
    <row r="36" spans="1:7" x14ac:dyDescent="0.35">
      <c r="A36" t="s">
        <v>327</v>
      </c>
      <c r="B36" s="7" t="s">
        <v>10</v>
      </c>
      <c r="C36" s="11" t="s">
        <v>11</v>
      </c>
      <c r="D36" s="8">
        <v>1</v>
      </c>
      <c r="E36" s="8">
        <v>0</v>
      </c>
      <c r="F36" s="8">
        <v>1</v>
      </c>
      <c r="G36" s="13">
        <v>0.38</v>
      </c>
    </row>
    <row r="37" spans="1:7" x14ac:dyDescent="0.35">
      <c r="A37" t="s">
        <v>327</v>
      </c>
      <c r="B37" s="6" t="s">
        <v>18</v>
      </c>
      <c r="C37" s="11" t="s">
        <v>11</v>
      </c>
      <c r="D37" s="1">
        <v>4</v>
      </c>
      <c r="E37" s="1">
        <v>3</v>
      </c>
      <c r="F37" s="1">
        <v>1</v>
      </c>
      <c r="G37" s="2">
        <v>12.23</v>
      </c>
    </row>
    <row r="38" spans="1:7" x14ac:dyDescent="0.35">
      <c r="A38" t="s">
        <v>327</v>
      </c>
      <c r="B38" s="6" t="s">
        <v>10</v>
      </c>
      <c r="C38" s="11" t="s">
        <v>11</v>
      </c>
      <c r="D38" s="1">
        <v>1</v>
      </c>
      <c r="E38" s="1">
        <v>1</v>
      </c>
      <c r="F38" s="1">
        <v>0</v>
      </c>
      <c r="G38" s="2">
        <v>0.97</v>
      </c>
    </row>
    <row r="39" spans="1:7" x14ac:dyDescent="0.35">
      <c r="A39" t="s">
        <v>132</v>
      </c>
      <c r="B39" t="s">
        <v>10</v>
      </c>
      <c r="C39" s="11" t="s">
        <v>11</v>
      </c>
      <c r="D39" s="1">
        <v>5</v>
      </c>
      <c r="E39" s="1">
        <v>4</v>
      </c>
      <c r="F39" s="1">
        <v>1</v>
      </c>
      <c r="G39" s="1">
        <v>22.82</v>
      </c>
    </row>
    <row r="40" spans="1:7" x14ac:dyDescent="0.35">
      <c r="A40" t="s">
        <v>132</v>
      </c>
      <c r="B40" t="s">
        <v>18</v>
      </c>
      <c r="C40" s="11" t="s">
        <v>11</v>
      </c>
      <c r="D40" s="1">
        <v>6</v>
      </c>
      <c r="E40" s="1">
        <v>5</v>
      </c>
      <c r="F40" s="1">
        <v>1</v>
      </c>
      <c r="G40" s="1">
        <v>42.02</v>
      </c>
    </row>
    <row r="41" spans="1:7" x14ac:dyDescent="0.35">
      <c r="A41" t="s">
        <v>139</v>
      </c>
      <c r="B41" t="s">
        <v>10</v>
      </c>
      <c r="C41" s="11" t="s">
        <v>11</v>
      </c>
      <c r="D41" s="1">
        <v>8</v>
      </c>
      <c r="E41" s="1">
        <v>3</v>
      </c>
      <c r="F41" s="1">
        <v>5</v>
      </c>
      <c r="G41" s="1">
        <v>27.2</v>
      </c>
    </row>
    <row r="42" spans="1:7" x14ac:dyDescent="0.35">
      <c r="A42" t="s">
        <v>139</v>
      </c>
      <c r="B42" t="s">
        <v>18</v>
      </c>
      <c r="C42" s="11" t="s">
        <v>11</v>
      </c>
      <c r="D42" s="1">
        <v>5</v>
      </c>
      <c r="E42" s="1">
        <v>5</v>
      </c>
      <c r="F42" s="1">
        <v>0</v>
      </c>
      <c r="G42" s="1">
        <v>46.46</v>
      </c>
    </row>
    <row r="43" spans="1:7" x14ac:dyDescent="0.35">
      <c r="A43" t="s">
        <v>139</v>
      </c>
      <c r="B43" s="7" t="s">
        <v>18</v>
      </c>
      <c r="C43" s="9" t="s">
        <v>301</v>
      </c>
      <c r="D43" s="1">
        <v>2</v>
      </c>
      <c r="E43" s="1">
        <v>2</v>
      </c>
      <c r="F43" s="1">
        <v>0</v>
      </c>
      <c r="G43" s="1">
        <v>8</v>
      </c>
    </row>
    <row r="44" spans="1:7" x14ac:dyDescent="0.35">
      <c r="A44" t="s">
        <v>139</v>
      </c>
      <c r="B44" s="7" t="s">
        <v>10</v>
      </c>
      <c r="C44" s="9" t="s">
        <v>301</v>
      </c>
      <c r="D44" s="1">
        <v>6</v>
      </c>
      <c r="E44" s="1">
        <v>6</v>
      </c>
      <c r="F44" s="1">
        <v>0</v>
      </c>
      <c r="G44" s="1">
        <v>15</v>
      </c>
    </row>
    <row r="45" spans="1:7" x14ac:dyDescent="0.35">
      <c r="A45" t="s">
        <v>150</v>
      </c>
      <c r="B45" t="s">
        <v>10</v>
      </c>
      <c r="C45" s="11" t="s">
        <v>11</v>
      </c>
      <c r="D45" s="1">
        <v>8</v>
      </c>
      <c r="E45" s="1">
        <v>6</v>
      </c>
      <c r="F45" s="1">
        <v>2</v>
      </c>
      <c r="G45" s="1">
        <v>25.21</v>
      </c>
    </row>
    <row r="46" spans="1:7" x14ac:dyDescent="0.35">
      <c r="A46" t="s">
        <v>150</v>
      </c>
      <c r="B46" t="s">
        <v>18</v>
      </c>
      <c r="C46" s="11" t="s">
        <v>11</v>
      </c>
      <c r="D46" s="1">
        <v>3</v>
      </c>
      <c r="E46" s="1">
        <v>0</v>
      </c>
      <c r="F46" s="1">
        <v>3</v>
      </c>
      <c r="G46" s="1">
        <v>4.42</v>
      </c>
    </row>
    <row r="47" spans="1:7" x14ac:dyDescent="0.35">
      <c r="A47" t="s">
        <v>150</v>
      </c>
      <c r="B47" s="7" t="s">
        <v>18</v>
      </c>
      <c r="C47" s="11" t="s">
        <v>11</v>
      </c>
      <c r="D47" s="8">
        <v>7</v>
      </c>
      <c r="E47" s="8">
        <v>3</v>
      </c>
      <c r="F47" s="8">
        <v>4</v>
      </c>
      <c r="G47" s="13">
        <v>24.11</v>
      </c>
    </row>
    <row r="48" spans="1:7" x14ac:dyDescent="0.35">
      <c r="A48" t="s">
        <v>324</v>
      </c>
      <c r="B48" s="7" t="s">
        <v>18</v>
      </c>
      <c r="C48" s="12" t="s">
        <v>249</v>
      </c>
      <c r="D48" s="8">
        <v>5</v>
      </c>
      <c r="E48" s="8">
        <v>2</v>
      </c>
      <c r="F48" s="8">
        <v>3</v>
      </c>
      <c r="G48" s="13">
        <v>15.69</v>
      </c>
    </row>
    <row r="49" spans="1:7" x14ac:dyDescent="0.35">
      <c r="A49" t="s">
        <v>324</v>
      </c>
      <c r="B49" s="7" t="s">
        <v>10</v>
      </c>
      <c r="C49" s="12" t="s">
        <v>249</v>
      </c>
      <c r="D49" s="8">
        <v>3</v>
      </c>
      <c r="E49" s="8">
        <v>2</v>
      </c>
      <c r="F49" s="8">
        <v>1</v>
      </c>
      <c r="G49" s="13">
        <v>10.31</v>
      </c>
    </row>
    <row r="50" spans="1:7" x14ac:dyDescent="0.35">
      <c r="A50" t="s">
        <v>325</v>
      </c>
      <c r="B50" s="7" t="s">
        <v>18</v>
      </c>
      <c r="C50" s="12" t="s">
        <v>249</v>
      </c>
      <c r="D50" s="8">
        <v>6</v>
      </c>
      <c r="E50" s="8">
        <v>4</v>
      </c>
      <c r="F50" s="8">
        <v>2</v>
      </c>
      <c r="G50" s="13">
        <v>16.690000000000001</v>
      </c>
    </row>
    <row r="51" spans="1:7" x14ac:dyDescent="0.35">
      <c r="A51" t="s">
        <v>325</v>
      </c>
      <c r="B51" s="7" t="s">
        <v>10</v>
      </c>
      <c r="C51" s="12" t="s">
        <v>249</v>
      </c>
      <c r="D51" s="8">
        <v>3</v>
      </c>
      <c r="E51" s="8">
        <v>3</v>
      </c>
      <c r="F51" s="8">
        <v>0</v>
      </c>
      <c r="G51" s="13">
        <v>22.4</v>
      </c>
    </row>
    <row r="52" spans="1:7" x14ac:dyDescent="0.35">
      <c r="A52" t="s">
        <v>326</v>
      </c>
      <c r="B52" s="7" t="s">
        <v>10</v>
      </c>
      <c r="C52" s="12" t="s">
        <v>250</v>
      </c>
      <c r="D52" s="8">
        <v>4</v>
      </c>
      <c r="E52" s="8">
        <v>1</v>
      </c>
      <c r="F52" s="8">
        <v>3</v>
      </c>
      <c r="G52" s="13">
        <v>6.14</v>
      </c>
    </row>
    <row r="53" spans="1:7" x14ac:dyDescent="0.35">
      <c r="A53" t="s">
        <v>326</v>
      </c>
      <c r="B53" s="7" t="s">
        <v>18</v>
      </c>
      <c r="C53" s="12" t="s">
        <v>250</v>
      </c>
      <c r="D53" s="8">
        <v>2</v>
      </c>
      <c r="E53" s="8">
        <v>2</v>
      </c>
      <c r="F53" s="8">
        <v>0</v>
      </c>
      <c r="G53" s="13">
        <v>10.41</v>
      </c>
    </row>
    <row r="54" spans="1:7" x14ac:dyDescent="0.35">
      <c r="A54" t="s">
        <v>326</v>
      </c>
      <c r="B54" s="7" t="s">
        <v>10</v>
      </c>
      <c r="C54" s="12" t="s">
        <v>249</v>
      </c>
      <c r="D54" s="8">
        <v>7</v>
      </c>
      <c r="E54" s="8">
        <v>3</v>
      </c>
      <c r="F54" s="8">
        <v>4</v>
      </c>
      <c r="G54" s="13">
        <v>18.86</v>
      </c>
    </row>
    <row r="55" spans="1:7" x14ac:dyDescent="0.35">
      <c r="A55" t="s">
        <v>326</v>
      </c>
      <c r="B55" s="7" t="s">
        <v>18</v>
      </c>
      <c r="C55" s="12" t="s">
        <v>249</v>
      </c>
      <c r="D55" s="8">
        <v>5</v>
      </c>
      <c r="E55" s="8">
        <v>4</v>
      </c>
      <c r="F55" s="8">
        <v>1</v>
      </c>
      <c r="G55" s="13">
        <v>19.18</v>
      </c>
    </row>
    <row r="56" spans="1:7" x14ac:dyDescent="0.35">
      <c r="A56" t="s">
        <v>195</v>
      </c>
      <c r="B56" t="s">
        <v>10</v>
      </c>
      <c r="C56" s="11" t="s">
        <v>11</v>
      </c>
      <c r="D56" s="1">
        <v>6</v>
      </c>
      <c r="E56" s="1">
        <v>3</v>
      </c>
      <c r="F56" s="1">
        <v>3</v>
      </c>
      <c r="G56" s="1">
        <v>29.77</v>
      </c>
    </row>
    <row r="57" spans="1:7" x14ac:dyDescent="0.35">
      <c r="A57" t="s">
        <v>195</v>
      </c>
      <c r="B57" t="s">
        <v>18</v>
      </c>
      <c r="C57" s="11" t="s">
        <v>11</v>
      </c>
      <c r="D57" s="1">
        <v>4</v>
      </c>
      <c r="E57" s="1">
        <v>3</v>
      </c>
      <c r="F57" s="1">
        <v>1</v>
      </c>
      <c r="G57" s="1">
        <v>36.840000000000003</v>
      </c>
    </row>
    <row r="58" spans="1:7" x14ac:dyDescent="0.35">
      <c r="A58" t="s">
        <v>199</v>
      </c>
      <c r="B58" t="s">
        <v>10</v>
      </c>
      <c r="C58" s="11" t="s">
        <v>31</v>
      </c>
      <c r="D58" s="1">
        <v>5</v>
      </c>
      <c r="E58" s="1">
        <v>5</v>
      </c>
      <c r="F58" s="1">
        <v>0</v>
      </c>
      <c r="G58" s="1">
        <v>47.95</v>
      </c>
    </row>
    <row r="59" spans="1:7" x14ac:dyDescent="0.35">
      <c r="A59" t="s">
        <v>199</v>
      </c>
      <c r="B59" t="s">
        <v>18</v>
      </c>
      <c r="C59" s="11" t="s">
        <v>31</v>
      </c>
      <c r="D59" s="1">
        <v>2</v>
      </c>
      <c r="E59" s="1">
        <v>1</v>
      </c>
      <c r="F59" s="1">
        <v>1</v>
      </c>
      <c r="G59" s="1">
        <v>23.03</v>
      </c>
    </row>
    <row r="60" spans="1:7" x14ac:dyDescent="0.35">
      <c r="A60" t="s">
        <v>199</v>
      </c>
      <c r="B60" t="s">
        <v>18</v>
      </c>
      <c r="C60" s="11" t="s">
        <v>11</v>
      </c>
      <c r="D60" s="1">
        <v>6</v>
      </c>
      <c r="E60" s="1">
        <v>3</v>
      </c>
      <c r="F60" s="1">
        <v>3</v>
      </c>
      <c r="G60" s="1">
        <v>61.46</v>
      </c>
    </row>
    <row r="61" spans="1:7" x14ac:dyDescent="0.35">
      <c r="A61" t="s">
        <v>210</v>
      </c>
      <c r="B61" t="s">
        <v>10</v>
      </c>
      <c r="C61" s="11" t="s">
        <v>11</v>
      </c>
      <c r="D61" s="1">
        <v>6</v>
      </c>
      <c r="E61" s="1">
        <v>5</v>
      </c>
      <c r="F61" s="1">
        <v>1</v>
      </c>
      <c r="G61" s="1">
        <v>23.03</v>
      </c>
    </row>
    <row r="62" spans="1:7" x14ac:dyDescent="0.35">
      <c r="A62" t="s">
        <v>210</v>
      </c>
      <c r="B62" t="s">
        <v>18</v>
      </c>
      <c r="C62" s="11" t="s">
        <v>11</v>
      </c>
      <c r="D62" s="1">
        <v>6</v>
      </c>
      <c r="E62" s="1">
        <v>5</v>
      </c>
      <c r="F62" s="1">
        <v>1</v>
      </c>
      <c r="G62" s="1">
        <v>61.46</v>
      </c>
    </row>
    <row r="63" spans="1:7" x14ac:dyDescent="0.35">
      <c r="A63" t="s">
        <v>348</v>
      </c>
      <c r="B63" t="s">
        <v>10</v>
      </c>
      <c r="C63" s="11" t="s">
        <v>31</v>
      </c>
      <c r="D63" s="1">
        <v>4</v>
      </c>
      <c r="E63" s="1">
        <v>4</v>
      </c>
      <c r="F63" s="1">
        <v>0</v>
      </c>
      <c r="G63" s="2">
        <v>11.05</v>
      </c>
    </row>
    <row r="64" spans="1:7" x14ac:dyDescent="0.35">
      <c r="A64" t="s">
        <v>349</v>
      </c>
      <c r="B64" t="s">
        <v>10</v>
      </c>
      <c r="C64" s="11" t="s">
        <v>251</v>
      </c>
      <c r="D64" s="1">
        <v>4</v>
      </c>
      <c r="E64" s="1">
        <v>2</v>
      </c>
      <c r="F64" s="1">
        <v>2</v>
      </c>
      <c r="G64" s="2">
        <v>6</v>
      </c>
    </row>
    <row r="65" spans="1:7" x14ac:dyDescent="0.35">
      <c r="A65" t="s">
        <v>349</v>
      </c>
      <c r="B65" t="s">
        <v>18</v>
      </c>
      <c r="C65" s="11" t="s">
        <v>251</v>
      </c>
      <c r="D65" s="1">
        <v>2</v>
      </c>
      <c r="E65" s="1">
        <v>2</v>
      </c>
      <c r="F65" s="1">
        <v>0</v>
      </c>
      <c r="G65" s="2">
        <v>6</v>
      </c>
    </row>
    <row r="66" spans="1:7" x14ac:dyDescent="0.35">
      <c r="A66" t="s">
        <v>216</v>
      </c>
      <c r="B66" t="s">
        <v>10</v>
      </c>
      <c r="C66" s="11" t="s">
        <v>11</v>
      </c>
      <c r="D66" s="1">
        <v>5</v>
      </c>
      <c r="E66" s="1">
        <v>2</v>
      </c>
      <c r="F66" s="1">
        <v>3</v>
      </c>
      <c r="G66" s="1">
        <v>24.03</v>
      </c>
    </row>
    <row r="67" spans="1:7" x14ac:dyDescent="0.35">
      <c r="A67" t="s">
        <v>216</v>
      </c>
      <c r="B67" t="s">
        <v>18</v>
      </c>
      <c r="C67" s="11" t="s">
        <v>11</v>
      </c>
      <c r="D67" s="1">
        <v>3</v>
      </c>
      <c r="E67" s="1">
        <v>2</v>
      </c>
      <c r="F67" s="1">
        <v>1</v>
      </c>
      <c r="G67" s="1">
        <v>42.08</v>
      </c>
    </row>
    <row r="68" spans="1:7" x14ac:dyDescent="0.35">
      <c r="A68" t="s">
        <v>219</v>
      </c>
      <c r="B68" t="s">
        <v>10</v>
      </c>
      <c r="C68" s="11" t="s">
        <v>11</v>
      </c>
      <c r="D68" s="1">
        <v>6</v>
      </c>
      <c r="E68" s="1">
        <v>3</v>
      </c>
      <c r="F68" s="1">
        <v>3</v>
      </c>
      <c r="G68" s="1">
        <v>24.03</v>
      </c>
    </row>
    <row r="69" spans="1:7" x14ac:dyDescent="0.35">
      <c r="A69" t="s">
        <v>219</v>
      </c>
      <c r="B69" t="s">
        <v>18</v>
      </c>
      <c r="C69" s="11" t="s">
        <v>11</v>
      </c>
      <c r="D69" s="1">
        <v>8</v>
      </c>
      <c r="E69" s="1">
        <v>4</v>
      </c>
      <c r="F69" s="1">
        <v>4</v>
      </c>
      <c r="G69" s="1">
        <v>42.08</v>
      </c>
    </row>
    <row r="70" spans="1:7" x14ac:dyDescent="0.35">
      <c r="A70" t="s">
        <v>323</v>
      </c>
      <c r="B70" s="7" t="s">
        <v>10</v>
      </c>
      <c r="C70" s="11" t="s">
        <v>11</v>
      </c>
      <c r="D70" s="8">
        <v>5</v>
      </c>
      <c r="E70" s="8">
        <v>2</v>
      </c>
      <c r="F70" s="8">
        <v>3</v>
      </c>
      <c r="G70" s="13">
        <v>14.92</v>
      </c>
    </row>
    <row r="71" spans="1:7" x14ac:dyDescent="0.35">
      <c r="A71" t="s">
        <v>323</v>
      </c>
      <c r="B71" s="7" t="s">
        <v>18</v>
      </c>
      <c r="C71" s="11" t="s">
        <v>11</v>
      </c>
      <c r="D71" s="8">
        <v>3</v>
      </c>
      <c r="E71" s="8">
        <v>1</v>
      </c>
      <c r="F71" s="8">
        <v>2</v>
      </c>
      <c r="G71" s="13">
        <v>7.45</v>
      </c>
    </row>
    <row r="72" spans="1:7" x14ac:dyDescent="0.35">
      <c r="A72" t="s">
        <v>230</v>
      </c>
      <c r="B72" t="s">
        <v>18</v>
      </c>
      <c r="C72" s="11" t="s">
        <v>11</v>
      </c>
      <c r="D72" s="1">
        <v>5</v>
      </c>
      <c r="E72" s="1">
        <v>2</v>
      </c>
      <c r="F72" s="1">
        <v>3</v>
      </c>
      <c r="G72" s="1">
        <v>25.43</v>
      </c>
    </row>
    <row r="73" spans="1:7" x14ac:dyDescent="0.35">
      <c r="A73" t="s">
        <v>230</v>
      </c>
      <c r="B73" t="s">
        <v>10</v>
      </c>
      <c r="C73" s="11" t="s">
        <v>11</v>
      </c>
      <c r="D73" s="1">
        <v>3</v>
      </c>
      <c r="E73" s="1">
        <v>2</v>
      </c>
      <c r="F73" s="1">
        <v>1</v>
      </c>
      <c r="G73" s="1">
        <v>17.989999999999998</v>
      </c>
    </row>
    <row r="74" spans="1:7" x14ac:dyDescent="0.35">
      <c r="A74" t="s">
        <v>321</v>
      </c>
      <c r="B74" s="7" t="s">
        <v>18</v>
      </c>
      <c r="C74" s="12" t="s">
        <v>31</v>
      </c>
      <c r="D74" s="8">
        <v>1</v>
      </c>
      <c r="E74" s="8">
        <v>1</v>
      </c>
      <c r="F74" s="8">
        <v>0</v>
      </c>
      <c r="G74" s="13">
        <v>11.98</v>
      </c>
    </row>
    <row r="75" spans="1:7" x14ac:dyDescent="0.35">
      <c r="A75" t="s">
        <v>321</v>
      </c>
      <c r="B75" s="7" t="s">
        <v>10</v>
      </c>
      <c r="C75" s="12" t="s">
        <v>31</v>
      </c>
      <c r="D75" s="8">
        <v>2</v>
      </c>
      <c r="E75" s="8">
        <v>1</v>
      </c>
      <c r="F75" s="8">
        <v>1</v>
      </c>
      <c r="G75" s="13">
        <v>7.35</v>
      </c>
    </row>
    <row r="76" spans="1:7" x14ac:dyDescent="0.35">
      <c r="A76" t="s">
        <v>322</v>
      </c>
      <c r="B76" s="7" t="s">
        <v>18</v>
      </c>
      <c r="C76" s="12" t="s">
        <v>31</v>
      </c>
      <c r="D76" s="8">
        <v>3</v>
      </c>
      <c r="E76" s="8">
        <v>3</v>
      </c>
      <c r="F76" s="8">
        <v>0</v>
      </c>
      <c r="G76" s="13">
        <v>12.61</v>
      </c>
    </row>
    <row r="77" spans="1:7" x14ac:dyDescent="0.35">
      <c r="A77" t="s">
        <v>322</v>
      </c>
      <c r="B77" s="7" t="s">
        <v>10</v>
      </c>
      <c r="C77" s="12" t="s">
        <v>31</v>
      </c>
      <c r="D77" s="8">
        <v>4</v>
      </c>
      <c r="E77" s="8">
        <v>4</v>
      </c>
      <c r="F77" s="8">
        <v>0</v>
      </c>
      <c r="G77" s="13">
        <v>8.9499999999999993</v>
      </c>
    </row>
    <row r="78" spans="1:7" x14ac:dyDescent="0.35">
      <c r="A78" t="s">
        <v>238</v>
      </c>
      <c r="B78" t="s">
        <v>10</v>
      </c>
      <c r="C78" s="11" t="s">
        <v>249</v>
      </c>
      <c r="D78" s="1">
        <v>9</v>
      </c>
      <c r="E78" s="1">
        <v>5</v>
      </c>
      <c r="F78" s="1">
        <v>4</v>
      </c>
      <c r="G78" s="1">
        <v>48.75</v>
      </c>
    </row>
    <row r="79" spans="1:7" x14ac:dyDescent="0.35">
      <c r="A79" t="s">
        <v>238</v>
      </c>
      <c r="B79" t="s">
        <v>18</v>
      </c>
      <c r="C79" s="11" t="s">
        <v>249</v>
      </c>
      <c r="D79" s="1">
        <v>2</v>
      </c>
      <c r="E79" s="1">
        <v>2</v>
      </c>
      <c r="F79" s="1">
        <v>0</v>
      </c>
      <c r="G79" s="1">
        <v>29.05</v>
      </c>
    </row>
    <row r="80" spans="1:7" x14ac:dyDescent="0.35">
      <c r="A80" t="s">
        <v>242</v>
      </c>
      <c r="B80" t="s">
        <v>10</v>
      </c>
      <c r="C80" s="11" t="s">
        <v>31</v>
      </c>
      <c r="D80" s="1">
        <v>4</v>
      </c>
      <c r="E80" s="1">
        <v>4</v>
      </c>
      <c r="F80" s="1">
        <v>0</v>
      </c>
      <c r="G80" s="1">
        <v>24.08</v>
      </c>
    </row>
    <row r="81" spans="1:7" x14ac:dyDescent="0.35">
      <c r="A81" t="s">
        <v>242</v>
      </c>
      <c r="B81" t="s">
        <v>18</v>
      </c>
      <c r="C81" s="11" t="s">
        <v>31</v>
      </c>
      <c r="D81" s="1">
        <v>3</v>
      </c>
      <c r="E81" s="1">
        <v>1</v>
      </c>
      <c r="F81" s="1">
        <v>2</v>
      </c>
      <c r="G81" s="1">
        <v>24.08</v>
      </c>
    </row>
    <row r="82" spans="1:7" x14ac:dyDescent="0.35">
      <c r="A82" t="s">
        <v>242</v>
      </c>
      <c r="B82" t="s">
        <v>10</v>
      </c>
      <c r="C82" s="11" t="s">
        <v>249</v>
      </c>
      <c r="D82" s="1">
        <v>4</v>
      </c>
      <c r="E82" s="1">
        <v>2</v>
      </c>
      <c r="F82" s="1">
        <v>2</v>
      </c>
      <c r="G82" s="1">
        <v>11.87</v>
      </c>
    </row>
    <row r="83" spans="1:7" x14ac:dyDescent="0.35">
      <c r="A83" t="s">
        <v>242</v>
      </c>
      <c r="B83" t="s">
        <v>18</v>
      </c>
      <c r="C83" s="11" t="s">
        <v>249</v>
      </c>
      <c r="D83" s="1">
        <v>5</v>
      </c>
      <c r="E83" s="1">
        <v>2</v>
      </c>
      <c r="F83" s="1">
        <v>3</v>
      </c>
      <c r="G83" s="1">
        <v>33.020000000000003</v>
      </c>
    </row>
    <row r="84" spans="1:7" x14ac:dyDescent="0.35">
      <c r="A84" t="s">
        <v>320</v>
      </c>
      <c r="B84" t="s">
        <v>10</v>
      </c>
      <c r="C84" s="12" t="s">
        <v>255</v>
      </c>
      <c r="D84" s="8">
        <v>6</v>
      </c>
      <c r="E84" s="8">
        <v>5</v>
      </c>
      <c r="F84" s="8">
        <v>1</v>
      </c>
      <c r="G84" s="13">
        <v>22.83</v>
      </c>
    </row>
    <row r="85" spans="1:7" x14ac:dyDescent="0.35">
      <c r="A85" t="s">
        <v>262</v>
      </c>
      <c r="B85" t="s">
        <v>10</v>
      </c>
      <c r="C85" s="11" t="s">
        <v>11</v>
      </c>
      <c r="D85" s="1">
        <v>5</v>
      </c>
      <c r="E85" s="1">
        <v>4</v>
      </c>
      <c r="F85" s="1">
        <v>1</v>
      </c>
      <c r="G85" s="1">
        <v>47.22</v>
      </c>
    </row>
    <row r="86" spans="1:7" x14ac:dyDescent="0.35">
      <c r="A86" t="s">
        <v>262</v>
      </c>
      <c r="B86" t="s">
        <v>18</v>
      </c>
      <c r="C86" s="11" t="s">
        <v>11</v>
      </c>
      <c r="D86" s="1">
        <v>5</v>
      </c>
      <c r="E86" s="1">
        <v>4</v>
      </c>
      <c r="F86" s="1">
        <v>1</v>
      </c>
      <c r="G86" s="1">
        <v>48.4</v>
      </c>
    </row>
    <row r="87" spans="1:7" x14ac:dyDescent="0.35">
      <c r="A87" t="s">
        <v>318</v>
      </c>
      <c r="B87" s="7" t="s">
        <v>18</v>
      </c>
      <c r="C87" s="11" t="s">
        <v>268</v>
      </c>
      <c r="D87" s="8">
        <v>4</v>
      </c>
      <c r="E87" s="8">
        <v>3</v>
      </c>
      <c r="F87" s="8">
        <v>1</v>
      </c>
      <c r="G87" s="13">
        <v>15.04</v>
      </c>
    </row>
    <row r="88" spans="1:7" x14ac:dyDescent="0.35">
      <c r="A88" t="s">
        <v>318</v>
      </c>
      <c r="B88" s="7" t="s">
        <v>10</v>
      </c>
      <c r="C88" s="11" t="s">
        <v>268</v>
      </c>
      <c r="D88" s="8">
        <v>2</v>
      </c>
      <c r="E88" s="8">
        <v>2</v>
      </c>
      <c r="F88" s="8">
        <v>0</v>
      </c>
      <c r="G88" s="13">
        <v>8.99</v>
      </c>
    </row>
    <row r="89" spans="1:7" x14ac:dyDescent="0.35">
      <c r="A89" t="s">
        <v>318</v>
      </c>
      <c r="B89" s="7" t="s">
        <v>271</v>
      </c>
      <c r="C89" s="11" t="s">
        <v>268</v>
      </c>
      <c r="D89" s="8">
        <v>1</v>
      </c>
      <c r="E89" s="8">
        <v>0</v>
      </c>
      <c r="F89" s="8">
        <v>1</v>
      </c>
      <c r="G89" s="13">
        <v>0.17</v>
      </c>
    </row>
    <row r="90" spans="1:7" x14ac:dyDescent="0.35">
      <c r="A90" t="s">
        <v>319</v>
      </c>
      <c r="B90" s="7" t="s">
        <v>271</v>
      </c>
      <c r="C90" s="12" t="s">
        <v>31</v>
      </c>
      <c r="D90" s="8">
        <v>7</v>
      </c>
      <c r="E90" s="8">
        <v>4</v>
      </c>
      <c r="F90" s="8">
        <v>3</v>
      </c>
      <c r="G90" s="1">
        <v>3.41</v>
      </c>
    </row>
    <row r="91" spans="1:7" x14ac:dyDescent="0.35">
      <c r="A91" t="s">
        <v>319</v>
      </c>
      <c r="B91" s="7" t="s">
        <v>18</v>
      </c>
      <c r="C91" s="12" t="s">
        <v>31</v>
      </c>
      <c r="D91" s="8">
        <v>2</v>
      </c>
      <c r="E91" s="8">
        <v>2</v>
      </c>
      <c r="F91" s="8">
        <v>0</v>
      </c>
      <c r="G91" s="13">
        <v>4.33</v>
      </c>
    </row>
    <row r="92" spans="1:7" x14ac:dyDescent="0.35">
      <c r="A92" t="s">
        <v>319</v>
      </c>
      <c r="B92" s="7" t="s">
        <v>10</v>
      </c>
      <c r="C92" s="12" t="s">
        <v>31</v>
      </c>
      <c r="D92" s="8">
        <v>1</v>
      </c>
      <c r="E92" s="8">
        <v>1</v>
      </c>
      <c r="F92" s="8">
        <v>0</v>
      </c>
      <c r="G92" s="13">
        <v>40.94</v>
      </c>
    </row>
    <row r="93" spans="1:7" x14ac:dyDescent="0.35">
      <c r="A93" t="s">
        <v>280</v>
      </c>
      <c r="B93" t="s">
        <v>10</v>
      </c>
      <c r="C93" s="11" t="s">
        <v>11</v>
      </c>
      <c r="D93" s="1">
        <v>2</v>
      </c>
      <c r="E93" s="1">
        <v>1</v>
      </c>
      <c r="F93" s="1">
        <v>1</v>
      </c>
      <c r="G93" s="1">
        <v>5.98</v>
      </c>
    </row>
    <row r="94" spans="1:7" x14ac:dyDescent="0.35">
      <c r="A94" t="s">
        <v>280</v>
      </c>
      <c r="B94" t="s">
        <v>271</v>
      </c>
      <c r="C94" s="11" t="s">
        <v>11</v>
      </c>
      <c r="D94" s="1">
        <v>1</v>
      </c>
      <c r="E94" s="1">
        <v>1</v>
      </c>
      <c r="F94" s="1">
        <v>0</v>
      </c>
      <c r="G94" s="1">
        <v>14.47</v>
      </c>
    </row>
    <row r="95" spans="1:7" x14ac:dyDescent="0.35">
      <c r="A95" t="s">
        <v>280</v>
      </c>
      <c r="B95" t="s">
        <v>18</v>
      </c>
      <c r="C95" s="11" t="s">
        <v>11</v>
      </c>
      <c r="D95" s="1">
        <v>4</v>
      </c>
      <c r="E95" s="1">
        <v>2</v>
      </c>
      <c r="F95" s="1">
        <v>2</v>
      </c>
      <c r="G95" s="1">
        <v>36.33</v>
      </c>
    </row>
    <row r="96" spans="1:7" x14ac:dyDescent="0.35">
      <c r="A96" t="s">
        <v>283</v>
      </c>
      <c r="B96" t="s">
        <v>10</v>
      </c>
      <c r="C96" s="11" t="s">
        <v>11</v>
      </c>
      <c r="D96" s="1">
        <v>5</v>
      </c>
      <c r="E96" s="1">
        <v>4</v>
      </c>
      <c r="F96" s="1">
        <v>1</v>
      </c>
      <c r="G96" s="1">
        <v>50.23</v>
      </c>
    </row>
    <row r="97" spans="1:7" x14ac:dyDescent="0.35">
      <c r="A97" t="s">
        <v>283</v>
      </c>
      <c r="B97" t="s">
        <v>271</v>
      </c>
      <c r="C97" s="11" t="s">
        <v>11</v>
      </c>
      <c r="D97" s="1">
        <v>2</v>
      </c>
      <c r="E97" s="1">
        <v>2</v>
      </c>
      <c r="F97" s="1">
        <v>0</v>
      </c>
      <c r="G97" s="1">
        <v>15.04</v>
      </c>
    </row>
    <row r="98" spans="1:7" x14ac:dyDescent="0.35">
      <c r="A98" t="s">
        <v>283</v>
      </c>
      <c r="B98" t="s">
        <v>18</v>
      </c>
      <c r="C98" s="11" t="s">
        <v>11</v>
      </c>
      <c r="D98" s="1">
        <v>5</v>
      </c>
      <c r="E98" s="1">
        <v>4</v>
      </c>
      <c r="F98" s="1">
        <v>1</v>
      </c>
      <c r="G98" s="1">
        <v>51.22</v>
      </c>
    </row>
    <row r="99" spans="1:7" x14ac:dyDescent="0.35">
      <c r="A99" t="s">
        <v>286</v>
      </c>
      <c r="B99" t="s">
        <v>10</v>
      </c>
      <c r="C99" s="11" t="s">
        <v>249</v>
      </c>
      <c r="D99" s="1">
        <v>7</v>
      </c>
      <c r="E99" s="1">
        <v>4</v>
      </c>
      <c r="F99" s="1">
        <v>3</v>
      </c>
      <c r="G99" s="1">
        <v>31.54</v>
      </c>
    </row>
    <row r="100" spans="1:7" x14ac:dyDescent="0.35">
      <c r="A100" t="s">
        <v>286</v>
      </c>
      <c r="B100" t="s">
        <v>271</v>
      </c>
      <c r="C100" s="11" t="s">
        <v>249</v>
      </c>
      <c r="D100" s="1">
        <v>1</v>
      </c>
      <c r="E100" s="1">
        <v>0</v>
      </c>
      <c r="F100" s="1">
        <v>1</v>
      </c>
      <c r="G100" s="1">
        <v>2.93</v>
      </c>
    </row>
    <row r="101" spans="1:7" x14ac:dyDescent="0.35">
      <c r="A101" t="s">
        <v>286</v>
      </c>
      <c r="B101" t="s">
        <v>18</v>
      </c>
      <c r="C101" s="11" t="s">
        <v>249</v>
      </c>
      <c r="D101" s="1">
        <v>5</v>
      </c>
      <c r="E101" s="1">
        <v>3</v>
      </c>
      <c r="F101" s="1">
        <v>2</v>
      </c>
      <c r="G101" s="1">
        <v>78.23</v>
      </c>
    </row>
    <row r="102" spans="1:7" x14ac:dyDescent="0.35">
      <c r="A102" t="s">
        <v>291</v>
      </c>
      <c r="B102" t="s">
        <v>10</v>
      </c>
      <c r="C102" s="11" t="s">
        <v>249</v>
      </c>
      <c r="D102" s="1">
        <v>5</v>
      </c>
      <c r="E102" s="1">
        <v>5</v>
      </c>
      <c r="F102" s="1">
        <v>0</v>
      </c>
      <c r="G102" s="1">
        <v>39.03</v>
      </c>
    </row>
    <row r="103" spans="1:7" x14ac:dyDescent="0.35">
      <c r="A103" t="s">
        <v>291</v>
      </c>
      <c r="B103" t="s">
        <v>271</v>
      </c>
      <c r="C103" s="11" t="s">
        <v>249</v>
      </c>
      <c r="D103" s="1">
        <v>3</v>
      </c>
      <c r="E103" s="1">
        <v>0</v>
      </c>
      <c r="F103" s="1">
        <v>3</v>
      </c>
      <c r="G103" s="1">
        <v>1.67</v>
      </c>
    </row>
    <row r="104" spans="1:7" x14ac:dyDescent="0.35">
      <c r="A104" t="s">
        <v>291</v>
      </c>
      <c r="B104" t="s">
        <v>18</v>
      </c>
      <c r="C104" s="11" t="s">
        <v>249</v>
      </c>
      <c r="D104" s="1">
        <v>4</v>
      </c>
      <c r="E104" s="1">
        <v>2</v>
      </c>
      <c r="F104" s="1">
        <v>2</v>
      </c>
      <c r="G104" s="1">
        <v>18.63</v>
      </c>
    </row>
    <row r="105" spans="1:7" x14ac:dyDescent="0.35">
      <c r="A105" t="s">
        <v>291</v>
      </c>
      <c r="B105" s="6" t="s">
        <v>18</v>
      </c>
      <c r="C105" s="11" t="s">
        <v>301</v>
      </c>
      <c r="D105" s="1">
        <v>2</v>
      </c>
      <c r="E105" s="1">
        <v>2</v>
      </c>
      <c r="F105" s="1">
        <v>0</v>
      </c>
      <c r="G105" s="1">
        <v>6.89</v>
      </c>
    </row>
    <row r="106" spans="1:7" x14ac:dyDescent="0.35">
      <c r="A106" t="s">
        <v>291</v>
      </c>
      <c r="B106" s="6" t="s">
        <v>271</v>
      </c>
      <c r="C106" s="11" t="s">
        <v>301</v>
      </c>
      <c r="D106" s="1">
        <v>1</v>
      </c>
      <c r="E106" s="1">
        <v>1</v>
      </c>
      <c r="F106" s="1">
        <v>0</v>
      </c>
      <c r="G106" s="1">
        <v>6.86</v>
      </c>
    </row>
    <row r="107" spans="1:7" x14ac:dyDescent="0.35">
      <c r="A107" t="s">
        <v>291</v>
      </c>
      <c r="B107" s="6" t="s">
        <v>10</v>
      </c>
      <c r="C107" s="11" t="s">
        <v>301</v>
      </c>
      <c r="D107" s="1">
        <v>1</v>
      </c>
      <c r="E107" s="1">
        <v>0</v>
      </c>
      <c r="F107" s="1">
        <v>1</v>
      </c>
      <c r="G107" s="1">
        <v>1.27</v>
      </c>
    </row>
    <row r="108" spans="1:7" x14ac:dyDescent="0.35">
      <c r="A108" t="s">
        <v>315</v>
      </c>
      <c r="B108" s="6" t="s">
        <v>18</v>
      </c>
      <c r="C108" s="11" t="s">
        <v>304</v>
      </c>
      <c r="D108" s="1">
        <v>4</v>
      </c>
      <c r="E108" s="1">
        <v>3</v>
      </c>
      <c r="F108" s="1">
        <v>1</v>
      </c>
      <c r="G108" s="1">
        <v>15.94</v>
      </c>
    </row>
    <row r="109" spans="1:7" x14ac:dyDescent="0.35">
      <c r="A109" t="s">
        <v>315</v>
      </c>
      <c r="B109" s="6" t="s">
        <v>10</v>
      </c>
      <c r="C109" s="11" t="s">
        <v>304</v>
      </c>
      <c r="D109" s="1">
        <v>1</v>
      </c>
      <c r="E109" s="1">
        <v>1</v>
      </c>
      <c r="F109" s="1">
        <v>0</v>
      </c>
      <c r="G109" s="1">
        <v>7.24</v>
      </c>
    </row>
    <row r="110" spans="1:7" x14ac:dyDescent="0.35">
      <c r="A110" t="s">
        <v>315</v>
      </c>
      <c r="B110" s="6" t="s">
        <v>271</v>
      </c>
      <c r="C110" s="11" t="s">
        <v>304</v>
      </c>
      <c r="D110" s="1">
        <v>1</v>
      </c>
      <c r="E110" s="1">
        <v>1</v>
      </c>
      <c r="F110" s="1">
        <v>0</v>
      </c>
      <c r="G110" s="1">
        <v>5.58</v>
      </c>
    </row>
    <row r="111" spans="1:7" x14ac:dyDescent="0.35">
      <c r="A111" t="s">
        <v>316</v>
      </c>
      <c r="B111" s="6" t="s">
        <v>18</v>
      </c>
      <c r="C111" s="11" t="s">
        <v>304</v>
      </c>
      <c r="D111" s="1">
        <v>5</v>
      </c>
      <c r="E111" s="1">
        <v>3</v>
      </c>
      <c r="F111" s="1">
        <v>2</v>
      </c>
      <c r="G111" s="1">
        <v>22.48</v>
      </c>
    </row>
    <row r="112" spans="1:7" x14ac:dyDescent="0.35">
      <c r="A112" t="s">
        <v>316</v>
      </c>
      <c r="B112" s="6" t="s">
        <v>10</v>
      </c>
      <c r="C112" s="11" t="s">
        <v>304</v>
      </c>
      <c r="D112" s="1">
        <v>2</v>
      </c>
      <c r="E112" s="1">
        <v>1</v>
      </c>
      <c r="F112" s="1">
        <v>1</v>
      </c>
      <c r="G112" s="1">
        <v>7.42</v>
      </c>
    </row>
    <row r="113" spans="1:7" x14ac:dyDescent="0.35">
      <c r="A113" t="s">
        <v>316</v>
      </c>
      <c r="B113" s="6" t="s">
        <v>271</v>
      </c>
      <c r="C113" s="11" t="s">
        <v>304</v>
      </c>
      <c r="D113" s="1">
        <v>1</v>
      </c>
      <c r="E113" s="1">
        <v>1</v>
      </c>
      <c r="F113" s="1">
        <v>0</v>
      </c>
      <c r="G113" s="1">
        <v>7.18</v>
      </c>
    </row>
    <row r="114" spans="1:7" x14ac:dyDescent="0.35">
      <c r="A114" t="s">
        <v>317</v>
      </c>
      <c r="B114" s="6" t="s">
        <v>271</v>
      </c>
      <c r="C114" s="11" t="s">
        <v>314</v>
      </c>
      <c r="D114" s="1">
        <v>1</v>
      </c>
      <c r="E114" s="1">
        <v>0</v>
      </c>
      <c r="F114" s="1">
        <v>1</v>
      </c>
      <c r="G114" s="1">
        <v>0.3</v>
      </c>
    </row>
    <row r="115" spans="1:7" x14ac:dyDescent="0.35">
      <c r="A115" t="s">
        <v>317</v>
      </c>
      <c r="B115" s="6" t="s">
        <v>10</v>
      </c>
      <c r="C115" s="11" t="s">
        <v>314</v>
      </c>
      <c r="D115" s="1">
        <v>1</v>
      </c>
      <c r="E115" s="1">
        <v>1</v>
      </c>
      <c r="F115" s="1">
        <v>0</v>
      </c>
      <c r="G115" s="1">
        <v>7.35</v>
      </c>
    </row>
    <row r="116" spans="1:7" x14ac:dyDescent="0.35">
      <c r="A116" t="s">
        <v>317</v>
      </c>
      <c r="B116" s="6" t="s">
        <v>18</v>
      </c>
      <c r="C116" s="11" t="s">
        <v>314</v>
      </c>
      <c r="D116" s="1">
        <v>3</v>
      </c>
      <c r="E116" s="1">
        <v>2</v>
      </c>
      <c r="F116" s="1">
        <v>1</v>
      </c>
      <c r="G116" s="1">
        <v>9.2799999999999994</v>
      </c>
    </row>
    <row r="117" spans="1:7" x14ac:dyDescent="0.35">
      <c r="A117" t="s">
        <v>328</v>
      </c>
      <c r="B117" t="s">
        <v>18</v>
      </c>
      <c r="C117" s="11" t="s">
        <v>332</v>
      </c>
      <c r="D117" s="1">
        <v>4</v>
      </c>
      <c r="E117" s="1">
        <v>2</v>
      </c>
      <c r="F117" s="1">
        <v>2</v>
      </c>
      <c r="G117" s="1">
        <v>25.86</v>
      </c>
    </row>
    <row r="118" spans="1:7" x14ac:dyDescent="0.35">
      <c r="A118" t="s">
        <v>328</v>
      </c>
      <c r="B118" t="s">
        <v>10</v>
      </c>
      <c r="C118" s="11" t="s">
        <v>332</v>
      </c>
      <c r="D118" s="1">
        <v>1</v>
      </c>
      <c r="E118" s="1">
        <v>1</v>
      </c>
      <c r="F118" s="1">
        <v>0</v>
      </c>
      <c r="G118" s="1">
        <v>9.1999999999999993</v>
      </c>
    </row>
    <row r="119" spans="1:7" x14ac:dyDescent="0.35">
      <c r="A119" t="s">
        <v>333</v>
      </c>
      <c r="B119" t="s">
        <v>10</v>
      </c>
      <c r="C119" s="11" t="s">
        <v>334</v>
      </c>
      <c r="D119" s="1">
        <v>4</v>
      </c>
      <c r="E119" s="1">
        <v>1</v>
      </c>
      <c r="F119" s="1">
        <v>3</v>
      </c>
      <c r="G119" s="1">
        <v>9.69</v>
      </c>
    </row>
    <row r="120" spans="1:7" x14ac:dyDescent="0.35">
      <c r="A120" t="s">
        <v>333</v>
      </c>
      <c r="B120" t="s">
        <v>271</v>
      </c>
      <c r="C120" s="11" t="s">
        <v>334</v>
      </c>
      <c r="D120" s="1">
        <v>3</v>
      </c>
      <c r="E120" s="1">
        <v>1</v>
      </c>
      <c r="F120" s="1">
        <v>2</v>
      </c>
      <c r="G120" s="1">
        <v>12.78</v>
      </c>
    </row>
    <row r="121" spans="1:7" x14ac:dyDescent="0.35">
      <c r="A121" t="s">
        <v>333</v>
      </c>
      <c r="B121" t="s">
        <v>18</v>
      </c>
      <c r="C121" s="11" t="s">
        <v>334</v>
      </c>
      <c r="D121" s="1">
        <v>2</v>
      </c>
      <c r="E121" s="1">
        <v>1</v>
      </c>
      <c r="F121" s="1">
        <v>1</v>
      </c>
      <c r="G121" s="1">
        <v>11.36</v>
      </c>
    </row>
    <row r="122" spans="1:7" x14ac:dyDescent="0.35">
      <c r="A122" t="s">
        <v>333</v>
      </c>
      <c r="B122" t="s">
        <v>10</v>
      </c>
      <c r="C122" s="11" t="s">
        <v>340</v>
      </c>
      <c r="D122" s="1">
        <v>1</v>
      </c>
      <c r="E122" s="1">
        <v>1</v>
      </c>
      <c r="F122" s="1">
        <v>0</v>
      </c>
      <c r="G122" s="1">
        <v>8</v>
      </c>
    </row>
    <row r="123" spans="1:7" x14ac:dyDescent="0.35">
      <c r="A123" t="s">
        <v>353</v>
      </c>
      <c r="B123" t="s">
        <v>18</v>
      </c>
      <c r="C123" s="1" t="s">
        <v>354</v>
      </c>
      <c r="D123" s="1">
        <v>2</v>
      </c>
      <c r="E123" s="1">
        <v>2</v>
      </c>
      <c r="F123" s="1">
        <v>0</v>
      </c>
      <c r="G123" s="1" t="s">
        <v>357</v>
      </c>
    </row>
    <row r="124" spans="1:7" x14ac:dyDescent="0.35">
      <c r="A124" t="s">
        <v>353</v>
      </c>
      <c r="B124" t="s">
        <v>10</v>
      </c>
      <c r="C124" s="1" t="s">
        <v>354</v>
      </c>
      <c r="D124" s="1">
        <v>2</v>
      </c>
      <c r="E124" s="1">
        <v>2</v>
      </c>
      <c r="F124" s="1">
        <v>0</v>
      </c>
      <c r="G124" s="1" t="s">
        <v>358</v>
      </c>
    </row>
    <row r="125" spans="1:7" x14ac:dyDescent="0.35">
      <c r="A125" t="s">
        <v>353</v>
      </c>
      <c r="B125" t="s">
        <v>271</v>
      </c>
      <c r="C125" s="1" t="s">
        <v>354</v>
      </c>
      <c r="D125" s="1">
        <v>2</v>
      </c>
      <c r="E125" s="1">
        <v>2</v>
      </c>
      <c r="F125" s="1">
        <v>0</v>
      </c>
      <c r="G125" s="1" t="s">
        <v>359</v>
      </c>
    </row>
    <row r="126" spans="1:7" x14ac:dyDescent="0.35">
      <c r="A126" s="16">
        <v>46296</v>
      </c>
      <c r="B126" s="6" t="s">
        <v>10</v>
      </c>
      <c r="C126" s="11" t="s">
        <v>304</v>
      </c>
      <c r="D126" s="1">
        <v>7</v>
      </c>
      <c r="E126" s="1">
        <v>4</v>
      </c>
      <c r="F126" s="1">
        <v>3</v>
      </c>
      <c r="G126" s="1">
        <v>21.56</v>
      </c>
    </row>
    <row r="127" spans="1:7" x14ac:dyDescent="0.35">
      <c r="A127" s="16">
        <v>46296</v>
      </c>
      <c r="B127" s="6" t="s">
        <v>271</v>
      </c>
      <c r="C127" s="11" t="s">
        <v>304</v>
      </c>
      <c r="D127" s="1">
        <v>1</v>
      </c>
      <c r="E127" s="1">
        <v>1</v>
      </c>
      <c r="F127" s="1">
        <v>0</v>
      </c>
      <c r="G127" s="1">
        <v>12.24</v>
      </c>
    </row>
    <row r="128" spans="1:7" x14ac:dyDescent="0.35">
      <c r="A128" s="16">
        <v>46296</v>
      </c>
      <c r="B128" s="6" t="s">
        <v>18</v>
      </c>
      <c r="C128" s="11" t="s">
        <v>304</v>
      </c>
      <c r="D128" s="1">
        <v>1</v>
      </c>
      <c r="E128" s="1">
        <v>1</v>
      </c>
      <c r="F128" s="1">
        <v>0</v>
      </c>
      <c r="G128" s="1">
        <v>2.17</v>
      </c>
    </row>
    <row r="129" spans="1:7" x14ac:dyDescent="0.35">
      <c r="A129" s="16">
        <v>46297</v>
      </c>
      <c r="B129" s="6" t="s">
        <v>18</v>
      </c>
      <c r="C129" s="9" t="s">
        <v>268</v>
      </c>
      <c r="D129" s="1">
        <v>1</v>
      </c>
      <c r="E129" s="1">
        <v>0</v>
      </c>
      <c r="F129" s="1">
        <v>1</v>
      </c>
      <c r="G129" s="1">
        <v>1.42</v>
      </c>
    </row>
    <row r="130" spans="1:7" x14ac:dyDescent="0.35">
      <c r="A130" s="16">
        <v>46297</v>
      </c>
      <c r="B130" s="6" t="s">
        <v>10</v>
      </c>
      <c r="C130" s="9" t="s">
        <v>268</v>
      </c>
      <c r="D130" s="1">
        <v>4</v>
      </c>
      <c r="E130" s="1">
        <v>3</v>
      </c>
      <c r="F130" s="1">
        <v>1</v>
      </c>
      <c r="G130" s="1">
        <v>25.3</v>
      </c>
    </row>
    <row r="131" spans="1:7" x14ac:dyDescent="0.35">
      <c r="A131" s="16">
        <v>46297</v>
      </c>
      <c r="B131" s="6" t="s">
        <v>271</v>
      </c>
      <c r="C131" s="9" t="s">
        <v>268</v>
      </c>
      <c r="D131" s="1">
        <v>2</v>
      </c>
      <c r="E131" s="1">
        <v>0</v>
      </c>
      <c r="F131" s="1">
        <v>2</v>
      </c>
      <c r="G131" s="1">
        <v>3.11</v>
      </c>
    </row>
    <row r="132" spans="1:7" x14ac:dyDescent="0.35">
      <c r="A132" s="16">
        <v>46298</v>
      </c>
      <c r="B132" s="6" t="s">
        <v>18</v>
      </c>
      <c r="C132" s="11" t="s">
        <v>369</v>
      </c>
      <c r="D132" s="1">
        <v>1</v>
      </c>
      <c r="E132" s="1">
        <v>1</v>
      </c>
      <c r="F132" s="1">
        <v>0</v>
      </c>
      <c r="G132" s="1">
        <v>8.3699999999999992</v>
      </c>
    </row>
    <row r="133" spans="1:7" x14ac:dyDescent="0.35">
      <c r="A133" s="16">
        <v>46298</v>
      </c>
      <c r="B133" s="6" t="s">
        <v>10</v>
      </c>
      <c r="C133" s="11" t="s">
        <v>369</v>
      </c>
      <c r="D133" s="1">
        <v>3</v>
      </c>
      <c r="E133" s="1">
        <v>2</v>
      </c>
      <c r="F133" s="1">
        <v>1</v>
      </c>
      <c r="G133" s="1">
        <v>11.33</v>
      </c>
    </row>
    <row r="134" spans="1:7" x14ac:dyDescent="0.35">
      <c r="A134" s="16">
        <v>46298</v>
      </c>
      <c r="B134" s="6" t="s">
        <v>271</v>
      </c>
      <c r="C134" s="11" t="s">
        <v>369</v>
      </c>
      <c r="D134" s="1">
        <v>2</v>
      </c>
      <c r="E134" s="1">
        <v>0</v>
      </c>
      <c r="F134" s="1">
        <v>2</v>
      </c>
      <c r="G134" s="1">
        <v>2.06</v>
      </c>
    </row>
    <row r="135" spans="1:7" x14ac:dyDescent="0.35">
      <c r="A135" s="16">
        <v>46299</v>
      </c>
      <c r="B135" s="6" t="s">
        <v>18</v>
      </c>
      <c r="C135" s="11" t="s">
        <v>301</v>
      </c>
      <c r="D135" s="1">
        <v>2</v>
      </c>
      <c r="E135" s="1">
        <v>1</v>
      </c>
      <c r="F135" s="1">
        <v>1</v>
      </c>
      <c r="G135" s="1">
        <v>3.44</v>
      </c>
    </row>
    <row r="136" spans="1:7" x14ac:dyDescent="0.35">
      <c r="A136" s="16">
        <v>46299</v>
      </c>
      <c r="B136" s="6" t="s">
        <v>10</v>
      </c>
      <c r="C136" s="11" t="s">
        <v>301</v>
      </c>
      <c r="D136" s="1">
        <v>4</v>
      </c>
      <c r="E136" s="1">
        <v>4</v>
      </c>
      <c r="F136" s="1">
        <v>0</v>
      </c>
      <c r="G136" s="1">
        <v>14.84</v>
      </c>
    </row>
    <row r="137" spans="1:7" x14ac:dyDescent="0.35">
      <c r="A137" s="16">
        <v>46299</v>
      </c>
      <c r="B137" s="6" t="s">
        <v>18</v>
      </c>
      <c r="C137" s="11" t="s">
        <v>304</v>
      </c>
      <c r="D137" s="1">
        <v>1</v>
      </c>
      <c r="E137" s="1">
        <v>1</v>
      </c>
      <c r="F137" s="1">
        <v>0</v>
      </c>
      <c r="G137" s="1">
        <v>1.59</v>
      </c>
    </row>
    <row r="138" spans="1:7" x14ac:dyDescent="0.35">
      <c r="A138" s="16">
        <v>46300</v>
      </c>
      <c r="B138" s="6" t="s">
        <v>10</v>
      </c>
      <c r="C138" s="11" t="s">
        <v>31</v>
      </c>
      <c r="D138" s="1">
        <v>2</v>
      </c>
      <c r="E138" s="1">
        <v>1</v>
      </c>
      <c r="F138" s="1">
        <v>1</v>
      </c>
      <c r="G138" s="1">
        <v>6</v>
      </c>
    </row>
    <row r="139" spans="1:7" x14ac:dyDescent="0.35">
      <c r="A139" s="16">
        <v>46300</v>
      </c>
      <c r="B139" s="6" t="s">
        <v>18</v>
      </c>
      <c r="C139" s="11" t="s">
        <v>31</v>
      </c>
      <c r="D139" s="1">
        <v>4</v>
      </c>
      <c r="E139" s="1">
        <v>2</v>
      </c>
      <c r="F139" s="1">
        <v>2</v>
      </c>
      <c r="G139" s="1">
        <v>9.1</v>
      </c>
    </row>
    <row r="140" spans="1:7" x14ac:dyDescent="0.35">
      <c r="A140" s="16">
        <v>46301</v>
      </c>
      <c r="B140" s="6" t="s">
        <v>18</v>
      </c>
      <c r="C140" s="11" t="s">
        <v>31</v>
      </c>
      <c r="D140" s="1">
        <v>5</v>
      </c>
      <c r="E140" s="1">
        <v>4</v>
      </c>
      <c r="F140" s="1">
        <v>1</v>
      </c>
      <c r="G140" s="1">
        <v>21.8</v>
      </c>
    </row>
    <row r="141" spans="1:7" x14ac:dyDescent="0.35">
      <c r="A141" s="16">
        <v>46301</v>
      </c>
      <c r="B141" s="6" t="s">
        <v>10</v>
      </c>
      <c r="C141" s="11" t="s">
        <v>31</v>
      </c>
      <c r="D141" s="1">
        <v>10</v>
      </c>
      <c r="E141" s="1">
        <v>7</v>
      </c>
      <c r="F141" s="1">
        <v>3</v>
      </c>
      <c r="G141" s="1">
        <v>29.56</v>
      </c>
    </row>
    <row r="142" spans="1:7" x14ac:dyDescent="0.35">
      <c r="A142" s="16">
        <v>46301</v>
      </c>
      <c r="B142" s="6" t="s">
        <v>271</v>
      </c>
      <c r="C142" s="11" t="s">
        <v>31</v>
      </c>
      <c r="D142" s="1">
        <v>1</v>
      </c>
      <c r="E142" s="1">
        <v>0</v>
      </c>
      <c r="F142" s="1">
        <v>1</v>
      </c>
      <c r="G142" s="1">
        <v>7.04</v>
      </c>
    </row>
    <row r="143" spans="1:7" x14ac:dyDescent="0.35">
      <c r="A143" s="16">
        <v>46302</v>
      </c>
      <c r="B143" s="6" t="s">
        <v>10</v>
      </c>
      <c r="C143" s="11" t="s">
        <v>340</v>
      </c>
      <c r="D143" s="1">
        <v>4</v>
      </c>
      <c r="E143" s="1">
        <v>2</v>
      </c>
      <c r="F143" s="1">
        <v>2</v>
      </c>
      <c r="G143" s="1">
        <v>26.59</v>
      </c>
    </row>
    <row r="144" spans="1:7" x14ac:dyDescent="0.35">
      <c r="A144" s="16">
        <v>46302</v>
      </c>
      <c r="B144" s="6" t="s">
        <v>18</v>
      </c>
      <c r="C144" s="11" t="s">
        <v>340</v>
      </c>
      <c r="D144" s="1">
        <v>3</v>
      </c>
      <c r="E144" s="1">
        <v>3</v>
      </c>
      <c r="F144" s="1">
        <v>0</v>
      </c>
      <c r="G144" s="1">
        <v>30</v>
      </c>
    </row>
    <row r="145" spans="1:7" x14ac:dyDescent="0.35">
      <c r="A145" s="16">
        <v>46303</v>
      </c>
      <c r="B145" s="6" t="s">
        <v>10</v>
      </c>
      <c r="C145" s="11" t="s">
        <v>249</v>
      </c>
      <c r="D145" s="1">
        <v>4</v>
      </c>
      <c r="E145" s="1">
        <v>2</v>
      </c>
      <c r="F145" s="1">
        <v>2</v>
      </c>
      <c r="G145" s="1" t="s">
        <v>401</v>
      </c>
    </row>
    <row r="146" spans="1:7" x14ac:dyDescent="0.35">
      <c r="A146" s="16">
        <v>46303</v>
      </c>
      <c r="B146" s="6" t="s">
        <v>18</v>
      </c>
      <c r="C146" s="11" t="s">
        <v>249</v>
      </c>
      <c r="D146" s="1">
        <v>4</v>
      </c>
      <c r="E146" s="1">
        <v>4</v>
      </c>
      <c r="F146" s="1">
        <v>0</v>
      </c>
      <c r="G146" s="1" t="s">
        <v>402</v>
      </c>
    </row>
    <row r="147" spans="1:7" x14ac:dyDescent="0.35">
      <c r="A147" s="16">
        <v>46304</v>
      </c>
      <c r="B147" s="6" t="s">
        <v>18</v>
      </c>
      <c r="C147" s="11" t="s">
        <v>249</v>
      </c>
      <c r="D147" s="1">
        <v>5</v>
      </c>
      <c r="E147" s="1">
        <v>2</v>
      </c>
      <c r="F147" s="1">
        <v>3</v>
      </c>
      <c r="G147" s="1">
        <v>17.829999999999998</v>
      </c>
    </row>
    <row r="148" spans="1:7" x14ac:dyDescent="0.35">
      <c r="A148" s="16">
        <v>46304</v>
      </c>
      <c r="B148" s="6" t="s">
        <v>18</v>
      </c>
      <c r="C148" s="11" t="s">
        <v>304</v>
      </c>
      <c r="D148" s="1">
        <v>2</v>
      </c>
      <c r="E148" s="1">
        <v>2</v>
      </c>
      <c r="F148" s="1">
        <v>0</v>
      </c>
      <c r="G148" s="1">
        <v>20.41</v>
      </c>
    </row>
    <row r="149" spans="1:7" x14ac:dyDescent="0.35">
      <c r="A149" s="16">
        <v>46304</v>
      </c>
      <c r="B149" s="6" t="s">
        <v>10</v>
      </c>
      <c r="C149" s="11" t="s">
        <v>304</v>
      </c>
      <c r="D149" s="1">
        <v>4</v>
      </c>
      <c r="E149" s="1">
        <v>3</v>
      </c>
      <c r="F149" s="1">
        <v>1</v>
      </c>
      <c r="G149" s="1">
        <v>10.43</v>
      </c>
    </row>
    <row r="150" spans="1:7" x14ac:dyDescent="0.35">
      <c r="A150" s="16">
        <v>46304</v>
      </c>
      <c r="B150" s="6" t="s">
        <v>271</v>
      </c>
      <c r="C150" s="11" t="s">
        <v>304</v>
      </c>
      <c r="D150" s="1">
        <v>2</v>
      </c>
      <c r="E150" s="1">
        <v>1</v>
      </c>
      <c r="F150" s="1">
        <v>1</v>
      </c>
      <c r="G150" s="1">
        <v>14.86</v>
      </c>
    </row>
    <row r="151" spans="1:7" x14ac:dyDescent="0.35">
      <c r="A151" s="16">
        <v>46305</v>
      </c>
      <c r="B151" s="6" t="s">
        <v>18</v>
      </c>
      <c r="C151" s="11" t="s">
        <v>304</v>
      </c>
      <c r="D151" s="1">
        <v>4</v>
      </c>
      <c r="E151" s="1">
        <v>3</v>
      </c>
      <c r="F151" s="1">
        <v>1</v>
      </c>
      <c r="G151" s="1">
        <v>19.059999999999999</v>
      </c>
    </row>
    <row r="152" spans="1:7" x14ac:dyDescent="0.35">
      <c r="A152" s="16">
        <v>46305</v>
      </c>
      <c r="B152" s="6" t="s">
        <v>10</v>
      </c>
      <c r="C152" s="11" t="s">
        <v>304</v>
      </c>
      <c r="D152" s="1">
        <v>3</v>
      </c>
      <c r="E152" s="1">
        <v>2</v>
      </c>
      <c r="F152" s="1">
        <v>1</v>
      </c>
      <c r="G152" s="1">
        <v>6.4</v>
      </c>
    </row>
    <row r="153" spans="1:7" x14ac:dyDescent="0.35">
      <c r="A153" s="16">
        <v>46305</v>
      </c>
      <c r="B153" s="6" t="s">
        <v>271</v>
      </c>
      <c r="C153" s="11" t="s">
        <v>304</v>
      </c>
      <c r="D153" s="1">
        <v>1</v>
      </c>
      <c r="E153" s="1">
        <v>1</v>
      </c>
      <c r="F153" s="1">
        <v>0</v>
      </c>
      <c r="G153" s="1">
        <v>4.87</v>
      </c>
    </row>
    <row r="154" spans="1:7" x14ac:dyDescent="0.35">
      <c r="A154" s="16">
        <v>46306</v>
      </c>
      <c r="B154" s="6" t="s">
        <v>10</v>
      </c>
      <c r="C154" s="11" t="s">
        <v>334</v>
      </c>
      <c r="D154" s="1">
        <v>2</v>
      </c>
      <c r="E154" s="1">
        <v>2</v>
      </c>
      <c r="F154" s="1">
        <v>0</v>
      </c>
      <c r="G154" s="1">
        <v>13.75</v>
      </c>
    </row>
    <row r="155" spans="1:7" x14ac:dyDescent="0.35">
      <c r="A155" s="16">
        <v>46306</v>
      </c>
      <c r="B155" s="6" t="s">
        <v>18</v>
      </c>
      <c r="C155" s="11" t="s">
        <v>334</v>
      </c>
      <c r="D155" s="1">
        <v>6</v>
      </c>
      <c r="E155" s="1">
        <v>3</v>
      </c>
      <c r="F155" s="1">
        <v>3</v>
      </c>
      <c r="G155" s="1">
        <v>44.15</v>
      </c>
    </row>
    <row r="156" spans="1:7" x14ac:dyDescent="0.35">
      <c r="A156" s="16">
        <v>46307</v>
      </c>
      <c r="B156" s="6" t="s">
        <v>18</v>
      </c>
      <c r="C156" s="11" t="s">
        <v>421</v>
      </c>
      <c r="D156" s="1">
        <v>3</v>
      </c>
      <c r="E156" s="1">
        <v>1</v>
      </c>
      <c r="F156" s="1">
        <v>2</v>
      </c>
      <c r="G156" s="1">
        <v>5.5</v>
      </c>
    </row>
    <row r="157" spans="1:7" x14ac:dyDescent="0.35">
      <c r="A157" s="16">
        <v>46307</v>
      </c>
      <c r="B157" s="6" t="s">
        <v>10</v>
      </c>
      <c r="C157" s="11" t="s">
        <v>421</v>
      </c>
      <c r="D157" s="1">
        <v>4</v>
      </c>
      <c r="E157" s="1">
        <v>4</v>
      </c>
      <c r="F157" s="1">
        <v>0</v>
      </c>
      <c r="G157" s="1">
        <v>35.07</v>
      </c>
    </row>
    <row r="158" spans="1:7" x14ac:dyDescent="0.35">
      <c r="A158" s="16">
        <v>46307</v>
      </c>
      <c r="B158" s="6" t="s">
        <v>18</v>
      </c>
      <c r="C158" s="11" t="s">
        <v>334</v>
      </c>
      <c r="D158" s="1">
        <v>2</v>
      </c>
      <c r="E158" s="1">
        <v>0</v>
      </c>
      <c r="F158" s="1">
        <v>2</v>
      </c>
      <c r="G158" s="1">
        <v>3.93</v>
      </c>
    </row>
    <row r="159" spans="1:7" x14ac:dyDescent="0.35">
      <c r="A159" s="16">
        <v>46307</v>
      </c>
      <c r="B159" s="6" t="s">
        <v>18</v>
      </c>
      <c r="C159" s="11" t="s">
        <v>249</v>
      </c>
      <c r="D159" s="1">
        <v>2</v>
      </c>
      <c r="E159" s="1">
        <v>2</v>
      </c>
      <c r="F159" s="1">
        <v>0</v>
      </c>
      <c r="G159" s="1">
        <v>34.119999999999997</v>
      </c>
    </row>
    <row r="160" spans="1:7" x14ac:dyDescent="0.35">
      <c r="A160" s="16">
        <v>46308</v>
      </c>
      <c r="B160" s="6" t="s">
        <v>18</v>
      </c>
      <c r="C160" s="11" t="s">
        <v>442</v>
      </c>
      <c r="D160" s="1">
        <v>5</v>
      </c>
      <c r="E160" s="1">
        <v>3</v>
      </c>
      <c r="F160" s="1">
        <v>2</v>
      </c>
      <c r="G160" s="1">
        <v>37.32</v>
      </c>
    </row>
    <row r="161" spans="1:8" x14ac:dyDescent="0.35">
      <c r="A161" s="16">
        <v>46308</v>
      </c>
      <c r="B161" s="6" t="s">
        <v>10</v>
      </c>
      <c r="C161" s="11" t="s">
        <v>442</v>
      </c>
      <c r="D161" s="1">
        <v>7</v>
      </c>
      <c r="E161" s="1">
        <v>4</v>
      </c>
      <c r="F161" s="1">
        <v>3</v>
      </c>
      <c r="G161" s="1">
        <v>29.67</v>
      </c>
    </row>
    <row r="162" spans="1:8" x14ac:dyDescent="0.35">
      <c r="A162" s="16">
        <v>46309</v>
      </c>
      <c r="B162" s="6" t="s">
        <v>10</v>
      </c>
      <c r="C162" s="11" t="s">
        <v>249</v>
      </c>
      <c r="D162" s="1">
        <v>9</v>
      </c>
      <c r="E162" s="1">
        <v>3</v>
      </c>
      <c r="F162" s="1">
        <v>6</v>
      </c>
      <c r="G162" s="1">
        <v>43.75</v>
      </c>
    </row>
    <row r="163" spans="1:8" x14ac:dyDescent="0.35">
      <c r="A163" s="16">
        <v>46309</v>
      </c>
      <c r="B163" s="6" t="s">
        <v>18</v>
      </c>
      <c r="C163" s="11" t="s">
        <v>249</v>
      </c>
      <c r="D163" s="1">
        <v>3</v>
      </c>
      <c r="E163" s="1">
        <v>3</v>
      </c>
      <c r="F163" s="1">
        <v>0</v>
      </c>
      <c r="G163" s="1">
        <v>31.41</v>
      </c>
    </row>
    <row r="164" spans="1:8" x14ac:dyDescent="0.35">
      <c r="A164" s="16">
        <v>46310</v>
      </c>
      <c r="B164" s="6" t="s">
        <v>18</v>
      </c>
      <c r="C164" s="11" t="s">
        <v>249</v>
      </c>
      <c r="D164" s="1">
        <v>2</v>
      </c>
      <c r="E164" s="1">
        <v>2</v>
      </c>
      <c r="F164" s="1">
        <v>0</v>
      </c>
      <c r="G164" s="1">
        <v>32</v>
      </c>
    </row>
    <row r="165" spans="1:8" x14ac:dyDescent="0.35">
      <c r="A165" s="16">
        <v>46310</v>
      </c>
      <c r="B165" s="6" t="s">
        <v>18</v>
      </c>
      <c r="C165" s="11" t="s">
        <v>11</v>
      </c>
      <c r="D165" s="1">
        <v>2</v>
      </c>
      <c r="E165" s="1">
        <v>1</v>
      </c>
      <c r="F165" s="1">
        <v>1</v>
      </c>
      <c r="G165" s="1">
        <v>8.74</v>
      </c>
    </row>
    <row r="166" spans="1:8" x14ac:dyDescent="0.35">
      <c r="A166" s="16">
        <v>46310</v>
      </c>
      <c r="B166" s="6" t="s">
        <v>10</v>
      </c>
      <c r="C166" s="11" t="s">
        <v>11</v>
      </c>
      <c r="D166" s="1">
        <v>7</v>
      </c>
      <c r="E166" s="1">
        <v>5</v>
      </c>
      <c r="F166" s="1">
        <v>2</v>
      </c>
      <c r="G166" s="1">
        <v>36.54</v>
      </c>
    </row>
    <row r="167" spans="1:8" x14ac:dyDescent="0.35">
      <c r="A167" s="16">
        <v>46311</v>
      </c>
      <c r="B167" s="6" t="s">
        <v>10</v>
      </c>
      <c r="C167" s="11" t="s">
        <v>11</v>
      </c>
      <c r="D167" s="1">
        <v>7</v>
      </c>
      <c r="E167" s="1">
        <v>5</v>
      </c>
      <c r="F167" s="1">
        <v>2</v>
      </c>
      <c r="G167" s="1">
        <v>33.07</v>
      </c>
    </row>
    <row r="168" spans="1:8" x14ac:dyDescent="0.35">
      <c r="A168" s="16">
        <v>46311</v>
      </c>
      <c r="B168" s="6" t="s">
        <v>18</v>
      </c>
      <c r="C168" s="11" t="s">
        <v>11</v>
      </c>
      <c r="D168" s="1">
        <v>4</v>
      </c>
      <c r="E168" s="1">
        <v>2</v>
      </c>
      <c r="F168" s="1">
        <v>2</v>
      </c>
      <c r="G168" s="1">
        <v>18.149999999999999</v>
      </c>
    </row>
    <row r="169" spans="1:8" x14ac:dyDescent="0.35">
      <c r="A169" s="16">
        <v>46312</v>
      </c>
      <c r="B169" s="6" t="s">
        <v>18</v>
      </c>
      <c r="C169" s="11" t="s">
        <v>369</v>
      </c>
      <c r="D169" s="1">
        <v>2</v>
      </c>
      <c r="E169" s="1">
        <v>2</v>
      </c>
      <c r="F169" s="1">
        <v>0</v>
      </c>
      <c r="G169" s="1">
        <v>10.98</v>
      </c>
    </row>
    <row r="170" spans="1:8" x14ac:dyDescent="0.35">
      <c r="A170" s="16">
        <v>46312</v>
      </c>
      <c r="B170" s="6" t="s">
        <v>10</v>
      </c>
      <c r="C170" s="11" t="s">
        <v>369</v>
      </c>
      <c r="D170" s="1">
        <v>3</v>
      </c>
      <c r="E170" s="1">
        <v>1</v>
      </c>
      <c r="F170" s="1">
        <v>2</v>
      </c>
      <c r="G170" s="1">
        <v>8.07</v>
      </c>
    </row>
    <row r="171" spans="1:8" x14ac:dyDescent="0.35">
      <c r="A171" s="16">
        <v>46312</v>
      </c>
      <c r="B171" s="6" t="s">
        <v>10</v>
      </c>
      <c r="C171" s="11" t="s">
        <v>255</v>
      </c>
      <c r="D171" s="1">
        <v>2</v>
      </c>
      <c r="E171" s="1">
        <v>2</v>
      </c>
      <c r="F171" s="1">
        <v>0</v>
      </c>
      <c r="G171" s="1">
        <v>4.79</v>
      </c>
    </row>
    <row r="172" spans="1:8" x14ac:dyDescent="0.35">
      <c r="A172" t="s">
        <v>462</v>
      </c>
      <c r="B172" s="6" t="s">
        <v>10</v>
      </c>
      <c r="C172" s="11" t="s">
        <v>249</v>
      </c>
      <c r="D172" s="1">
        <v>5</v>
      </c>
      <c r="E172" s="1">
        <v>4</v>
      </c>
      <c r="F172" s="1">
        <v>1</v>
      </c>
      <c r="G172" s="1" t="s">
        <v>474</v>
      </c>
    </row>
    <row r="173" spans="1:8" x14ac:dyDescent="0.35">
      <c r="A173" t="s">
        <v>462</v>
      </c>
      <c r="B173" s="6" t="s">
        <v>271</v>
      </c>
      <c r="C173" s="11" t="s">
        <v>249</v>
      </c>
      <c r="D173" s="1">
        <v>1</v>
      </c>
      <c r="E173" s="1">
        <v>0</v>
      </c>
      <c r="F173" s="1">
        <v>1</v>
      </c>
      <c r="G173" s="1" t="s">
        <v>475</v>
      </c>
    </row>
    <row r="174" spans="1:8" x14ac:dyDescent="0.35">
      <c r="A174" t="s">
        <v>462</v>
      </c>
      <c r="B174" s="6" t="s">
        <v>18</v>
      </c>
      <c r="C174" s="11" t="s">
        <v>249</v>
      </c>
      <c r="D174" s="1">
        <v>7</v>
      </c>
      <c r="E174" s="1">
        <v>3</v>
      </c>
      <c r="F174" s="1">
        <v>4</v>
      </c>
      <c r="G174" s="1" t="s">
        <v>476</v>
      </c>
    </row>
    <row r="175" spans="1:8" x14ac:dyDescent="0.35">
      <c r="A175" t="s">
        <v>485</v>
      </c>
      <c r="B175" s="7" t="s">
        <v>10</v>
      </c>
      <c r="C175" s="17">
        <v>0.45833333333333331</v>
      </c>
      <c r="D175" s="8">
        <v>9</v>
      </c>
      <c r="E175" s="8">
        <v>2</v>
      </c>
      <c r="F175" s="8">
        <v>7</v>
      </c>
      <c r="G175" s="8">
        <v>17.600000000000001</v>
      </c>
      <c r="H175" s="7"/>
    </row>
    <row r="176" spans="1:8" x14ac:dyDescent="0.35">
      <c r="A176" t="s">
        <v>485</v>
      </c>
      <c r="B176" s="7" t="s">
        <v>18</v>
      </c>
      <c r="C176" s="17">
        <v>0.45833333333333331</v>
      </c>
      <c r="D176" s="8">
        <v>5</v>
      </c>
      <c r="E176" s="8">
        <v>2</v>
      </c>
      <c r="F176" s="8">
        <v>3</v>
      </c>
      <c r="G176" s="8">
        <v>21.23</v>
      </c>
      <c r="H176" s="7"/>
    </row>
    <row r="177" spans="1:8" x14ac:dyDescent="0.35">
      <c r="A177" t="s">
        <v>485</v>
      </c>
      <c r="B177" s="7" t="s">
        <v>271</v>
      </c>
      <c r="C177" s="17">
        <v>0.45833333333333331</v>
      </c>
      <c r="D177" s="8">
        <v>1</v>
      </c>
      <c r="E177" s="8">
        <v>0</v>
      </c>
      <c r="F177" s="8">
        <v>1</v>
      </c>
      <c r="G177" s="8">
        <v>0.94</v>
      </c>
      <c r="H177" s="7"/>
    </row>
    <row r="178" spans="1:8" x14ac:dyDescent="0.35">
      <c r="A178" s="16">
        <v>46315</v>
      </c>
      <c r="B178" s="6" t="s">
        <v>18</v>
      </c>
      <c r="C178" s="11" t="s">
        <v>354</v>
      </c>
      <c r="D178" s="1">
        <v>2</v>
      </c>
      <c r="E178" s="1">
        <v>2</v>
      </c>
      <c r="F178" s="1">
        <v>0</v>
      </c>
      <c r="G178" s="1">
        <v>10.37</v>
      </c>
    </row>
    <row r="179" spans="1:8" x14ac:dyDescent="0.35">
      <c r="A179" s="16">
        <v>46315</v>
      </c>
      <c r="B179" s="6" t="s">
        <v>10</v>
      </c>
      <c r="C179" s="11" t="s">
        <v>354</v>
      </c>
      <c r="D179" s="1">
        <v>2</v>
      </c>
      <c r="E179" s="1">
        <v>2</v>
      </c>
      <c r="F179" s="1">
        <v>0</v>
      </c>
      <c r="G179" s="1">
        <v>10.54</v>
      </c>
    </row>
    <row r="180" spans="1:8" x14ac:dyDescent="0.35">
      <c r="A180" t="s">
        <v>489</v>
      </c>
      <c r="B180" s="6" t="s">
        <v>10</v>
      </c>
      <c r="C180" s="11" t="s">
        <v>249</v>
      </c>
      <c r="D180" s="1">
        <v>5</v>
      </c>
      <c r="E180" s="1">
        <v>5</v>
      </c>
      <c r="F180" s="1">
        <v>0</v>
      </c>
      <c r="G180" s="1" t="s">
        <v>498</v>
      </c>
    </row>
    <row r="181" spans="1:8" x14ac:dyDescent="0.35">
      <c r="A181" t="s">
        <v>489</v>
      </c>
      <c r="B181" s="6" t="s">
        <v>18</v>
      </c>
      <c r="C181" s="11" t="s">
        <v>249</v>
      </c>
      <c r="D181" s="1">
        <v>4</v>
      </c>
      <c r="E181" s="1">
        <v>0</v>
      </c>
      <c r="F181" s="1">
        <v>4</v>
      </c>
      <c r="G181" s="1" t="s">
        <v>499</v>
      </c>
    </row>
  </sheetData>
  <phoneticPr fontId="4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workbookViewId="0">
      <selection activeCell="B9" sqref="B9"/>
    </sheetView>
  </sheetViews>
  <sheetFormatPr defaultRowHeight="15.5" x14ac:dyDescent="0.35"/>
  <cols>
    <col min="1" max="1" width="40.83203125" customWidth="1"/>
    <col min="2" max="2" width="20.83203125" customWidth="1"/>
  </cols>
  <sheetData>
    <row r="1" spans="1:2" x14ac:dyDescent="0.35">
      <c r="A1" t="s">
        <v>92</v>
      </c>
    </row>
    <row r="2" spans="1:2" x14ac:dyDescent="0.35">
      <c r="A2" t="s">
        <v>79</v>
      </c>
    </row>
    <row r="3" spans="1:2" x14ac:dyDescent="0.35">
      <c r="A3" t="s">
        <v>14</v>
      </c>
    </row>
    <row r="4" spans="1:2" x14ac:dyDescent="0.35">
      <c r="A4" s="3" t="s">
        <v>84</v>
      </c>
      <c r="B4" s="4" t="s">
        <v>85</v>
      </c>
    </row>
    <row r="5" spans="1:2" x14ac:dyDescent="0.35">
      <c r="A5" t="s">
        <v>86</v>
      </c>
      <c r="B5" s="2" cm="1">
        <f t="array" ref="B5">MIN(IF(Patient_Log!F16:F1024&gt;=1,Patient_Log!F16:F1024))</f>
        <v>1</v>
      </c>
    </row>
    <row r="6" spans="1:2" x14ac:dyDescent="0.35">
      <c r="A6" t="s">
        <v>87</v>
      </c>
      <c r="B6" s="1" cm="1">
        <f t="array" ref="B6">MAX(IF(Patient_Log!F16:F1024&gt;=1,Patient_Log!F16:F1024))</f>
        <v>47.21</v>
      </c>
    </row>
    <row r="7" spans="1:2" x14ac:dyDescent="0.35">
      <c r="A7" t="s">
        <v>88</v>
      </c>
      <c r="B7" s="2">
        <f>AVERAGEIF(Patient_Log!F16:F1024,"&lt;&gt;0")</f>
        <v>5.5995607235142115</v>
      </c>
    </row>
    <row r="8" spans="1:2" x14ac:dyDescent="0.35">
      <c r="B8" s="1"/>
    </row>
    <row r="9" spans="1:2" x14ac:dyDescent="0.35">
      <c r="A9" t="s">
        <v>80</v>
      </c>
      <c r="B9" s="1">
        <f>SUM(Unit_Log!E2:E994)</f>
        <v>461</v>
      </c>
    </row>
    <row r="10" spans="1:2" x14ac:dyDescent="0.35">
      <c r="A10" t="s">
        <v>14</v>
      </c>
      <c r="B10" s="1"/>
    </row>
    <row r="11" spans="1:2" x14ac:dyDescent="0.35">
      <c r="A11" s="3" t="s">
        <v>89</v>
      </c>
      <c r="B11" s="4" t="s">
        <v>85</v>
      </c>
    </row>
    <row r="12" spans="1:2" x14ac:dyDescent="0.35">
      <c r="A12" t="s">
        <v>90</v>
      </c>
      <c r="B12" s="1" cm="1">
        <f t="array" ref="B12">MIN(IF(Unit_Log!G2:G994&gt;=1,Unit_Log!G2:G994))</f>
        <v>1</v>
      </c>
    </row>
    <row r="13" spans="1:2" x14ac:dyDescent="0.35">
      <c r="A13" t="s">
        <v>91</v>
      </c>
      <c r="B13" s="1" cm="1">
        <f t="array" ref="B13">MAX(IF(Unit_Log!G8:G994&gt;=1,Unit_Log!G8:G994))</f>
        <v>78.23</v>
      </c>
    </row>
  </sheetData>
  <pageMargins left="0.7" right="0.7" top="0.75" bottom="0.75" header="0.3" footer="0.3"/>
  <ignoredErrors>
    <ignoredError sqref="A2:B3 A10:B10 A9 B1" numberStoredAsText="1"/>
  </ignoredErrors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0"/>
  <sheetViews>
    <sheetView workbookViewId="0">
      <selection activeCell="A30" sqref="A30"/>
    </sheetView>
  </sheetViews>
  <sheetFormatPr defaultRowHeight="15.5" x14ac:dyDescent="0.35"/>
  <cols>
    <col min="1" max="1" width="28.83203125" customWidth="1"/>
    <col min="2" max="2" width="50.83203125" customWidth="1"/>
    <col min="3" max="3" width="18.83203125" customWidth="1"/>
    <col min="4" max="4" width="44.83203125" customWidth="1"/>
  </cols>
  <sheetData>
    <row r="1" spans="1:4" x14ac:dyDescent="0.35">
      <c r="A1" t="s">
        <v>42</v>
      </c>
      <c r="B1" t="s">
        <v>43</v>
      </c>
      <c r="C1" t="s">
        <v>44</v>
      </c>
      <c r="D1" t="s">
        <v>6</v>
      </c>
    </row>
    <row r="2" spans="1:4" x14ac:dyDescent="0.35">
      <c r="A2" t="s">
        <v>0</v>
      </c>
      <c r="B2" t="s">
        <v>45</v>
      </c>
      <c r="C2" t="s">
        <v>46</v>
      </c>
      <c r="D2" t="s">
        <v>47</v>
      </c>
    </row>
    <row r="3" spans="1:4" x14ac:dyDescent="0.35">
      <c r="A3" t="s">
        <v>1</v>
      </c>
      <c r="B3" t="s">
        <v>48</v>
      </c>
      <c r="C3" t="s">
        <v>49</v>
      </c>
      <c r="D3" t="s">
        <v>50</v>
      </c>
    </row>
    <row r="4" spans="1:4" x14ac:dyDescent="0.35">
      <c r="A4" t="s">
        <v>2</v>
      </c>
      <c r="B4" t="s">
        <v>51</v>
      </c>
      <c r="C4" t="s">
        <v>49</v>
      </c>
      <c r="D4" t="s">
        <v>52</v>
      </c>
    </row>
    <row r="5" spans="1:4" x14ac:dyDescent="0.35">
      <c r="A5" t="s">
        <v>3</v>
      </c>
      <c r="B5" t="s">
        <v>53</v>
      </c>
      <c r="C5" t="s">
        <v>49</v>
      </c>
      <c r="D5" t="s">
        <v>14</v>
      </c>
    </row>
    <row r="6" spans="1:4" x14ac:dyDescent="0.35">
      <c r="A6" t="s">
        <v>4</v>
      </c>
      <c r="B6" t="s">
        <v>54</v>
      </c>
      <c r="C6" t="s">
        <v>49</v>
      </c>
      <c r="D6" t="s">
        <v>55</v>
      </c>
    </row>
    <row r="7" spans="1:4" x14ac:dyDescent="0.35">
      <c r="A7" t="s">
        <v>5</v>
      </c>
      <c r="B7" t="s">
        <v>56</v>
      </c>
      <c r="C7" t="s">
        <v>49</v>
      </c>
      <c r="D7" t="s">
        <v>57</v>
      </c>
    </row>
    <row r="8" spans="1:4" x14ac:dyDescent="0.35">
      <c r="A8" t="s">
        <v>6</v>
      </c>
      <c r="B8" t="s">
        <v>58</v>
      </c>
      <c r="C8" t="s">
        <v>49</v>
      </c>
      <c r="D8" t="s">
        <v>59</v>
      </c>
    </row>
    <row r="9" spans="1:4" x14ac:dyDescent="0.35">
      <c r="A9" t="s">
        <v>7</v>
      </c>
      <c r="B9" t="s">
        <v>60</v>
      </c>
      <c r="C9" t="s">
        <v>49</v>
      </c>
      <c r="D9" t="s">
        <v>59</v>
      </c>
    </row>
    <row r="10" spans="1:4" x14ac:dyDescent="0.35">
      <c r="A10" t="s">
        <v>8</v>
      </c>
      <c r="B10" t="s">
        <v>61</v>
      </c>
      <c r="C10" t="s">
        <v>49</v>
      </c>
      <c r="D10" t="s">
        <v>62</v>
      </c>
    </row>
    <row r="11" spans="1:4" x14ac:dyDescent="0.35">
      <c r="A11" t="s">
        <v>14</v>
      </c>
      <c r="B11" t="s">
        <v>14</v>
      </c>
      <c r="C11" t="s">
        <v>14</v>
      </c>
      <c r="D11" t="s">
        <v>14</v>
      </c>
    </row>
    <row r="12" spans="1:4" x14ac:dyDescent="0.35">
      <c r="A12" t="s">
        <v>63</v>
      </c>
      <c r="B12" t="s">
        <v>14</v>
      </c>
      <c r="C12" t="s">
        <v>14</v>
      </c>
      <c r="D12" t="s">
        <v>14</v>
      </c>
    </row>
    <row r="13" spans="1:4" x14ac:dyDescent="0.35">
      <c r="A13" t="s">
        <v>64</v>
      </c>
      <c r="B13" t="s">
        <v>65</v>
      </c>
      <c r="C13" t="s">
        <v>66</v>
      </c>
      <c r="D13" t="s">
        <v>14</v>
      </c>
    </row>
    <row r="14" spans="1:4" x14ac:dyDescent="0.35">
      <c r="A14" t="s">
        <v>67</v>
      </c>
      <c r="B14" t="s">
        <v>68</v>
      </c>
      <c r="C14" t="s">
        <v>66</v>
      </c>
      <c r="D14" t="s">
        <v>14</v>
      </c>
    </row>
    <row r="15" spans="1:4" x14ac:dyDescent="0.35">
      <c r="A15" t="s">
        <v>69</v>
      </c>
      <c r="B15" t="s">
        <v>70</v>
      </c>
      <c r="C15" t="s">
        <v>66</v>
      </c>
      <c r="D15" t="s">
        <v>14</v>
      </c>
    </row>
    <row r="16" spans="1:4" x14ac:dyDescent="0.35">
      <c r="A16" t="s">
        <v>71</v>
      </c>
      <c r="B16" t="s">
        <v>72</v>
      </c>
      <c r="C16" t="s">
        <v>66</v>
      </c>
      <c r="D16" t="s">
        <v>14</v>
      </c>
    </row>
    <row r="17" spans="1:4" x14ac:dyDescent="0.35">
      <c r="A17" t="s">
        <v>73</v>
      </c>
      <c r="B17" t="s">
        <v>74</v>
      </c>
      <c r="C17" t="s">
        <v>66</v>
      </c>
      <c r="D17" t="s">
        <v>14</v>
      </c>
    </row>
    <row r="18" spans="1:4" x14ac:dyDescent="0.35">
      <c r="A18" t="s">
        <v>75</v>
      </c>
      <c r="B18" t="s">
        <v>76</v>
      </c>
      <c r="C18" t="s">
        <v>66</v>
      </c>
      <c r="D18" t="s">
        <v>14</v>
      </c>
    </row>
    <row r="19" spans="1:4" x14ac:dyDescent="0.35">
      <c r="A19" t="s">
        <v>77</v>
      </c>
      <c r="B19" t="s">
        <v>78</v>
      </c>
      <c r="C19" t="s">
        <v>66</v>
      </c>
      <c r="D19" t="s">
        <v>14</v>
      </c>
    </row>
    <row r="24" spans="1:4" x14ac:dyDescent="0.35">
      <c r="A24" s="3" t="s">
        <v>187</v>
      </c>
    </row>
    <row r="25" spans="1:4" x14ac:dyDescent="0.35">
      <c r="A25" t="s">
        <v>189</v>
      </c>
    </row>
    <row r="26" spans="1:4" x14ac:dyDescent="0.35">
      <c r="A26" t="s">
        <v>190</v>
      </c>
    </row>
    <row r="27" spans="1:4" x14ac:dyDescent="0.35">
      <c r="A27" t="s">
        <v>191</v>
      </c>
    </row>
    <row r="28" spans="1:4" x14ac:dyDescent="0.35">
      <c r="A28" t="s">
        <v>192</v>
      </c>
    </row>
    <row r="29" spans="1:4" x14ac:dyDescent="0.35">
      <c r="A29" t="s">
        <v>193</v>
      </c>
    </row>
    <row r="30" spans="1:4" x14ac:dyDescent="0.35">
      <c r="A30" t="s">
        <v>194</v>
      </c>
    </row>
  </sheetData>
  <pageMargins left="0.7" right="0.7" top="0.75" bottom="0.75" header="0.3" footer="0.3"/>
  <ignoredErrors>
    <ignoredError sqref="A1:D19" numberStoredAsText="1"/>
  </ignoredErrors>
</worksheet>
</file>

<file path=docMetadata/LabelInfo.xml><?xml version="1.0" encoding="utf-8"?>
<clbl:labelList xmlns:clbl="http://schemas.microsoft.com/office/2020/mipLabelMetadata">
  <clbl:label id="{e95f1b23-abaf-45ee-821d-b7ab251ab3bf}" enabled="0" method="" siteId="{e95f1b23-abaf-45ee-821d-b7ab251ab3b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Patient_Log</vt:lpstr>
      <vt:lpstr>Unit_Log</vt:lpstr>
      <vt:lpstr>Summary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Alvarez, Crystal G.</cp:lastModifiedBy>
  <dcterms:created xsi:type="dcterms:W3CDTF">2026-08-11T16:36:34Z</dcterms:created>
  <dcterms:modified xsi:type="dcterms:W3CDTF">2026-10-21T20:47:02Z</dcterms:modified>
</cp:coreProperties>
</file>