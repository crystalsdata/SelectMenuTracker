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vagov-my.sharepoint.com/personal/crystal_alvarez_va_gov/Documents/Desktop/Select Menu/VSCode/"/>
    </mc:Choice>
  </mc:AlternateContent>
  <xr:revisionPtr revIDLastSave="606" documentId="13_ncr:1_{9CEB82FD-F55C-4572-8711-23C7E1DF9E52}" xr6:coauthVersionLast="47" xr6:coauthVersionMax="47" xr10:uidLastSave="{AFF5F4CA-6A48-42AF-BB31-F541AA70F24A}"/>
  <bookViews>
    <workbookView xWindow="-120" yWindow="-120" windowWidth="29040" windowHeight="15720" activeTab="1" xr2:uid="{00000000-000D-0000-FFFF-FFFF00000000}"/>
  </bookViews>
  <sheets>
    <sheet name="Patient_Log" sheetId="1" r:id="rId1"/>
    <sheet name="Unit_Log" sheetId="4" r:id="rId2"/>
    <sheet name="Summary" sheetId="3" r:id="rId3"/>
    <sheet name="Data Dictionary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3" l="1" a="1"/>
  <c r="B6" i="3" s="1"/>
  <c r="B9" i="3"/>
  <c r="B13" i="3" a="1"/>
  <c r="B13" i="3" s="1"/>
  <c r="B12" i="3" a="1"/>
  <c r="B12" i="3" s="1"/>
  <c r="F2" i="4"/>
  <c r="F3" i="4"/>
  <c r="F4" i="4"/>
  <c r="F5" i="4"/>
  <c r="F6" i="4"/>
  <c r="F7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B7" i="3" l="1"/>
  <c r="B5" i="3" a="1"/>
  <c r="B5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tc={D3FF7735-12CE-4124-B812-530317C3CDB5}</author>
    <author>tc={633BB6FF-50A6-45FA-B27C-354642007C57}</author>
    <author>Alvarez, Crystal G.</author>
  </authors>
  <commentList>
    <comment ref="A3" authorId="0" shapeId="0" xr:uid="{D3FF7735-12CE-4124-B812-530317C3CDB5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these two days is assumed, ass I did not track any data whatsoever.</t>
      </text>
    </comment>
    <comment ref="A7" authorId="1" shapeId="0" xr:uid="{633BB6FF-50A6-45FA-B27C-354642007C57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for this day is assumed, as I did not track any data.</t>
      </text>
    </comment>
    <comment ref="A64" authorId="2" shapeId="0" xr:uid="{B570238E-FF55-4F54-B4C3-500650412F58}">
      <text>
        <r>
          <rPr>
            <b/>
            <sz val="9"/>
            <color indexed="81"/>
            <rFont val="Tahoma"/>
            <charset val="1"/>
          </rPr>
          <t>Alvarez, Crystal G.:</t>
        </r>
        <r>
          <rPr>
            <sz val="9"/>
            <color indexed="81"/>
            <rFont val="Tahoma"/>
            <charset val="1"/>
          </rPr>
          <t xml:space="preserve">
The values for 9/3 are estiamted. My laptop crashed after exporting data from tracker website but before pasting it to this sheet. File could not be recovered. That data is lost forever :(</t>
        </r>
      </text>
    </comment>
    <comment ref="A66" authorId="2" shapeId="0" xr:uid="{1C6ECA0F-A3B9-42C6-9297-47FAC1DF9E29}">
      <text>
        <r>
          <rPr>
            <b/>
            <sz val="9"/>
            <color indexed="81"/>
            <rFont val="Tahoma"/>
            <charset val="1"/>
          </rPr>
          <t>Alvarez, Crystal G.:</t>
        </r>
        <r>
          <rPr>
            <sz val="9"/>
            <color indexed="81"/>
            <rFont val="Tahoma"/>
            <charset val="1"/>
          </rPr>
          <t xml:space="preserve">
The values for 9/3 are estiamted. My laptop crashed after exporting data from tracker website but before pasting it to this sheet. File could not be recovered. That data is lost forever :(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Alvarez, Crystal G.</author>
  </authors>
  <commentList>
    <comment ref="A13" authorId="0" shapeId="0" xr:uid="{15896BF7-B431-4F5F-8CAB-2CE9A739AB94}">
      <text>
        <r>
          <rPr>
            <b/>
            <sz val="9"/>
            <color indexed="81"/>
            <rFont val="Tahoma"/>
            <family val="2"/>
          </rPr>
          <t>Alvarez, Crystal G.:</t>
        </r>
        <r>
          <rPr>
            <sz val="9"/>
            <color indexed="81"/>
            <rFont val="Tahoma"/>
            <family val="2"/>
          </rPr>
          <t xml:space="preserve">
This calculation does not include the first trial week (7/29-8/5) d/t outliers that would skew the results. Also, WiFi was not working on my laptop so I was not tracking my total time spent up in the units.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<sst xmlns="http://schemas.openxmlformats.org/spreadsheetml/2006/main" count="2997" uniqueCount="477">
  <si>
    <t>Date</t>
  </si>
  <si>
    <t>Unit</t>
  </si>
  <si>
    <t>Visit_Window</t>
  </si>
  <si>
    <t>Room</t>
  </si>
  <si>
    <t>Available</t>
  </si>
  <si>
    <t>Interaction_Time_Min</t>
  </si>
  <si>
    <t>Notes</t>
  </si>
  <si>
    <t>Unit_Time_Min</t>
  </si>
  <si>
    <t>Combined_Duration_Min</t>
  </si>
  <si>
    <t>2026-08-06</t>
  </si>
  <si>
    <t>3 West</t>
  </si>
  <si>
    <t>2:30 PM</t>
  </si>
  <si>
    <t>24</t>
  </si>
  <si>
    <t>Yes</t>
  </si>
  <si>
    <t/>
  </si>
  <si>
    <t>26</t>
  </si>
  <si>
    <t>25</t>
  </si>
  <si>
    <t>No</t>
  </si>
  <si>
    <t>2 East</t>
  </si>
  <si>
    <t>01</t>
  </si>
  <si>
    <t>Took long bc I collected Likes and Dislikes</t>
  </si>
  <si>
    <t>2026-08-07</t>
  </si>
  <si>
    <t>8:00 AM</t>
  </si>
  <si>
    <t>6</t>
  </si>
  <si>
    <t>17</t>
  </si>
  <si>
    <t>35</t>
  </si>
  <si>
    <t>Transfer to Tele</t>
  </si>
  <si>
    <t>Discharged</t>
  </si>
  <si>
    <t>18</t>
  </si>
  <si>
    <t>28</t>
  </si>
  <si>
    <t>2026-08-10</t>
  </si>
  <si>
    <t>11:00 AM</t>
  </si>
  <si>
    <t>05</t>
  </si>
  <si>
    <t>06</t>
  </si>
  <si>
    <t>29</t>
  </si>
  <si>
    <t>2026-08-11</t>
  </si>
  <si>
    <t>04</t>
  </si>
  <si>
    <t>09</t>
  </si>
  <si>
    <t>refused okay w/ w/e</t>
  </si>
  <si>
    <t>expects to DC today</t>
  </si>
  <si>
    <t>11</t>
  </si>
  <si>
    <t>Dr rounding</t>
  </si>
  <si>
    <t>Column</t>
  </si>
  <si>
    <t>Description</t>
  </si>
  <si>
    <t>Type</t>
  </si>
  <si>
    <t>Date of visit</t>
  </si>
  <si>
    <t>Input (YYYY-MM-DD)</t>
  </si>
  <si>
    <t>Keep format consistent for Power BI</t>
  </si>
  <si>
    <t>Patient care unit</t>
  </si>
  <si>
    <t>Input</t>
  </si>
  <si>
    <t>3 West or 2 East</t>
  </si>
  <si>
    <t>Time window of visit</t>
  </si>
  <si>
    <t>8:00 AM, 11:00 AM, or 2:30 PM</t>
  </si>
  <si>
    <t>Patient room number</t>
  </si>
  <si>
    <t>Whether patient was seen</t>
  </si>
  <si>
    <t>Yes or No</t>
  </si>
  <si>
    <t>Time spent with patient in minutes</t>
  </si>
  <si>
    <t>Exported from Visit Tracker website; blank if unavailable</t>
  </si>
  <si>
    <t>Optional notes per patient</t>
  </si>
  <si>
    <t>Exported from Visit Tracker website</t>
  </si>
  <si>
    <t>Total time spent on that unit including walking</t>
  </si>
  <si>
    <t>Total time on both units combined</t>
  </si>
  <si>
    <t>Exported from Visit Tracker website; same value repeats for all rows in a session</t>
  </si>
  <si>
    <t>POWER BI CALCULATED METRICS</t>
  </si>
  <si>
    <t>Patients_Attempted</t>
  </si>
  <si>
    <t>COUNTA of rows per date + unit + visit window</t>
  </si>
  <si>
    <t>Power BI measure</t>
  </si>
  <si>
    <t>Patients_Seen</t>
  </si>
  <si>
    <t>COUNTIF Available = Yes</t>
  </si>
  <si>
    <t>Patients_Unavailable</t>
  </si>
  <si>
    <t>COUNTIF Available = No</t>
  </si>
  <si>
    <t>Avg_Interaction_Time_Min</t>
  </si>
  <si>
    <t>AVERAGE of Interaction_Time_Min per session</t>
  </si>
  <si>
    <t>Min_Interaction_Time_Min</t>
  </si>
  <si>
    <t>MIN of Interaction_Time_Min</t>
  </si>
  <si>
    <t>Max_Interaction_Time_Min</t>
  </si>
  <si>
    <t>MAX of Interaction_Time_Min</t>
  </si>
  <si>
    <t>Contact_Rate_Pct</t>
  </si>
  <si>
    <t>Patients_Seen / Patients_Attempted * 100</t>
  </si>
  <si>
    <t>Auto-updates as new rows are added to the Patient Log sheet.</t>
  </si>
  <si>
    <t>Total Patients Seen (all time)</t>
  </si>
  <si>
    <t>very restrictive needs. Expects to be on TPN</t>
  </si>
  <si>
    <t>With the Dr. Overheard psych mentioned. Possible IPU?</t>
  </si>
  <si>
    <t>Session_Duration_Min</t>
  </si>
  <si>
    <t>Patient Interaction Times</t>
  </si>
  <si>
    <t>Minutes</t>
  </si>
  <si>
    <t>Minimum Interaction Time</t>
  </si>
  <si>
    <t>Maximum Interaction Time</t>
  </si>
  <si>
    <t>Average Interaction Time</t>
  </si>
  <si>
    <t>Session Durations</t>
  </si>
  <si>
    <t>Minimum Duration</t>
  </si>
  <si>
    <t>Maximum Duration</t>
  </si>
  <si>
    <t>SELECT MENU — SUMMARY</t>
  </si>
  <si>
    <t>2026-08-12</t>
  </si>
  <si>
    <t>03</t>
  </si>
  <si>
    <t>took long for adding LDAs</t>
  </si>
  <si>
    <t>20</t>
  </si>
  <si>
    <t>asleep</t>
  </si>
  <si>
    <t>couldn't find room?</t>
  </si>
  <si>
    <t>2026-08-13</t>
  </si>
  <si>
    <t>discharging</t>
  </si>
  <si>
    <t>patient in pain. said "soup" for L&amp;D</t>
  </si>
  <si>
    <t>pt not in room</t>
  </si>
  <si>
    <t>13</t>
  </si>
  <si>
    <t>pt only eats honeydew melon?</t>
  </si>
  <si>
    <t>with a provider</t>
  </si>
  <si>
    <t>provider in room</t>
  </si>
  <si>
    <t>2026-08-14</t>
  </si>
  <si>
    <t>pt sleeping</t>
  </si>
  <si>
    <t>2026-08-17</t>
  </si>
  <si>
    <t>02</t>
  </si>
  <si>
    <t>possible DC? Bed was stripped</t>
  </si>
  <si>
    <t>Patient only wanted to confirm tonight's dinner. And then said "whatever is fine"</t>
  </si>
  <si>
    <t>ICU6</t>
  </si>
  <si>
    <t>07</t>
  </si>
  <si>
    <t>2026-08-19</t>
  </si>
  <si>
    <t>31</t>
  </si>
  <si>
    <t>2026-08-20</t>
  </si>
  <si>
    <t>3.53</t>
  </si>
  <si>
    <t>discharged</t>
  </si>
  <si>
    <t>3.71</t>
  </si>
  <si>
    <t>9.78</t>
  </si>
  <si>
    <t>19.78</t>
  </si>
  <si>
    <t>2026-08-21</t>
  </si>
  <si>
    <t>3.54</t>
  </si>
  <si>
    <t>2</t>
  </si>
  <si>
    <t>pt discharged. bed stripped &amp; cleaned.</t>
  </si>
  <si>
    <t>9.01</t>
  </si>
  <si>
    <t>4.14</t>
  </si>
  <si>
    <t>10.45</t>
  </si>
  <si>
    <t>20.83</t>
  </si>
  <si>
    <t>really liked tomato soup</t>
  </si>
  <si>
    <t>C01</t>
  </si>
  <si>
    <t>B18</t>
  </si>
  <si>
    <t>B11</t>
  </si>
  <si>
    <t>B20</t>
  </si>
  <si>
    <t>A28</t>
  </si>
  <si>
    <t>2b28</t>
  </si>
  <si>
    <t>2b26</t>
  </si>
  <si>
    <t>2b17</t>
  </si>
  <si>
    <t>sleeping</t>
  </si>
  <si>
    <t>3a31</t>
  </si>
  <si>
    <t>2026-08-24</t>
  </si>
  <si>
    <t>3.50</t>
  </si>
  <si>
    <t>2.80</t>
  </si>
  <si>
    <t>0.04</t>
  </si>
  <si>
    <t>said w/e is fine</t>
  </si>
  <si>
    <t>7.68</t>
  </si>
  <si>
    <t>took a little longer d/t hearing difficulty</t>
  </si>
  <si>
    <t>c01</t>
  </si>
  <si>
    <t>3.92</t>
  </si>
  <si>
    <t>2.66</t>
  </si>
  <si>
    <t>9.73</t>
  </si>
  <si>
    <t>4.11</t>
  </si>
  <si>
    <t>many compliments to the food being such a delight</t>
  </si>
  <si>
    <t>11.13</t>
  </si>
  <si>
    <t>pt had nice things to say. This is always done "with a smile.. the deliveries are nice." the good attitude and good food go a long way while in a hospital.</t>
  </si>
  <si>
    <t>was discharging as i walked in</t>
  </si>
  <si>
    <t>22.82</t>
  </si>
  <si>
    <t>42.02</t>
  </si>
  <si>
    <t>2026-08-25</t>
  </si>
  <si>
    <t>possible DC? bed and room stripped</t>
  </si>
  <si>
    <t>10.79</t>
  </si>
  <si>
    <t>w/ provider</t>
  </si>
  <si>
    <t>2.85</t>
  </si>
  <si>
    <t>5.98</t>
  </si>
  <si>
    <t>room locked</t>
  </si>
  <si>
    <t>3.96</t>
  </si>
  <si>
    <t>2.42</t>
  </si>
  <si>
    <t>11.70</t>
  </si>
  <si>
    <t>11.52</t>
  </si>
  <si>
    <t>did LDAs</t>
  </si>
  <si>
    <t>27.20</t>
  </si>
  <si>
    <t>46.46</t>
  </si>
  <si>
    <t>2b11</t>
  </si>
  <si>
    <t>3a26</t>
  </si>
  <si>
    <t>3a28</t>
  </si>
  <si>
    <t>3a35</t>
  </si>
  <si>
    <t>3a29</t>
  </si>
  <si>
    <t>3a07</t>
  </si>
  <si>
    <t>2026-08-27</t>
  </si>
  <si>
    <t>1</t>
  </si>
  <si>
    <t>w/ RD</t>
  </si>
  <si>
    <t>3</t>
  </si>
  <si>
    <t>discharging soon</t>
  </si>
  <si>
    <t>3.94</t>
  </si>
  <si>
    <t>5.68</t>
  </si>
  <si>
    <t>6.06</t>
  </si>
  <si>
    <t>not in room</t>
  </si>
  <si>
    <t>25.21</t>
  </si>
  <si>
    <t>4.42</t>
  </si>
  <si>
    <t>A07</t>
  </si>
  <si>
    <t>A24</t>
  </si>
  <si>
    <t>D23</t>
  </si>
  <si>
    <t>patient mental state is unstable</t>
  </si>
  <si>
    <t>2b18</t>
  </si>
  <si>
    <t>pt is discharging after lunch</t>
  </si>
  <si>
    <t>3a24</t>
  </si>
  <si>
    <t>pt is discharging tmw after lunch</t>
  </si>
  <si>
    <t>procedure</t>
  </si>
  <si>
    <t>not available</t>
  </si>
  <si>
    <t>2b13</t>
  </si>
  <si>
    <t>A35</t>
  </si>
  <si>
    <t>B13</t>
  </si>
  <si>
    <t>B26</t>
  </si>
  <si>
    <t>B17</t>
  </si>
  <si>
    <t>Patient incapacitated</t>
  </si>
  <si>
    <t>Contact plus precaution</t>
  </si>
  <si>
    <t>A29</t>
  </si>
  <si>
    <t>Patient Discharged</t>
  </si>
  <si>
    <t>A31</t>
  </si>
  <si>
    <t>patient was not coherent fell asleep.   Just chose main menu items</t>
  </si>
  <si>
    <t>A01</t>
  </si>
  <si>
    <t>B28</t>
  </si>
  <si>
    <t>patient was with provider for an extended amount of time.  Chose the main menu items for efficiency.</t>
  </si>
  <si>
    <t>1:30PM</t>
  </si>
  <si>
    <t>patient is incapacitated</t>
  </si>
  <si>
    <t>PATIENT IS VERY DISSAPPOINTED WITH THE BAKED CHICKEN ENTREE</t>
  </si>
  <si>
    <t>SLEEP</t>
  </si>
  <si>
    <t>A06</t>
  </si>
  <si>
    <t>PATIENT WITH PROVIDER</t>
  </si>
  <si>
    <t>10:30AM</t>
  </si>
  <si>
    <t>PATIENT VISITING WITH FAMILY</t>
  </si>
  <si>
    <t>Reason</t>
  </si>
  <si>
    <t>Reasons for No Visit List</t>
  </si>
  <si>
    <t>nurse notified that pt busy having a "bowel movement". Pt Incapacitated</t>
  </si>
  <si>
    <t>Discharged/Transferred</t>
  </si>
  <si>
    <t>With Provider</t>
  </si>
  <si>
    <t>Sleeping/Incapacitated</t>
  </si>
  <si>
    <t>Not in Room</t>
  </si>
  <si>
    <t>Isolation/Precaution</t>
  </si>
  <si>
    <t>Other</t>
  </si>
  <si>
    <t>2026-08-31</t>
  </si>
  <si>
    <t>possible DC</t>
  </si>
  <si>
    <t>18.72</t>
  </si>
  <si>
    <t>took long d/t provider coming in, then talked a lot</t>
  </si>
  <si>
    <t>4.16</t>
  </si>
  <si>
    <t>2.75</t>
  </si>
  <si>
    <t>in bathroom</t>
  </si>
  <si>
    <t>9.27</t>
  </si>
  <si>
    <t>17.10</t>
  </si>
  <si>
    <t>4.48</t>
  </si>
  <si>
    <t>29.77</t>
  </si>
  <si>
    <t>36.84</t>
  </si>
  <si>
    <t>2026-09-02</t>
  </si>
  <si>
    <t>14.32</t>
  </si>
  <si>
    <t>took long d/t carefully reviewing each tray &amp; discussing appetite issues</t>
  </si>
  <si>
    <t>4.29</t>
  </si>
  <si>
    <t>8.93</t>
  </si>
  <si>
    <t>wife helped order. only did tonight's dinner. expects to leave tomorrow and confirmed OK w/ chef selections if end up staying</t>
  </si>
  <si>
    <t>icu01</t>
  </si>
  <si>
    <t>3.34</t>
  </si>
  <si>
    <t>icu05</t>
  </si>
  <si>
    <t>6.62</t>
  </si>
  <si>
    <t>took long bc i needed to wait for provider to wrap up</t>
  </si>
  <si>
    <t>NPO sign on door</t>
  </si>
  <si>
    <t>14.25</t>
  </si>
  <si>
    <t>took long entering snacks and preferences</t>
  </si>
  <si>
    <t>47.95</t>
  </si>
  <si>
    <t>23.03</t>
  </si>
  <si>
    <t>13.10</t>
  </si>
  <si>
    <t>17.71</t>
  </si>
  <si>
    <t>took long d/t reviewing allergies and recipe components</t>
  </si>
  <si>
    <t>17.68</t>
  </si>
  <si>
    <t>took long reviewing Nourishments and going over menu</t>
  </si>
  <si>
    <t>w/ a provider</t>
  </si>
  <si>
    <t>61.46</t>
  </si>
  <si>
    <t>2026-09-03</t>
  </si>
  <si>
    <t>A02</t>
  </si>
  <si>
    <t>A03</t>
  </si>
  <si>
    <t>PATIENT DISCHARGING 09/06 DOES NOT WANT TO ENTER ANY MEAL SELECTIONS</t>
  </si>
  <si>
    <t>THIS WAS VERY HELPFUL BECAUSE THE PATIENT DOES HAVE A DISLIKE FOR ONION PRODUCTS BUT FURTHER EXPLAINED HE LIKES THEM WHEN THEY'RE SAUTEED AND COOKED SO I WAS ABLE TO GIVE HIM THE BEEF STEW AND LOCK THE SELECTION.</t>
  </si>
  <si>
    <t>DISCHARGING 09/06 DOES NOT WANT TO ENTER ANY SELECTIONS</t>
  </si>
  <si>
    <t>2026-09-08</t>
  </si>
  <si>
    <t>12.29</t>
  </si>
  <si>
    <t>gave many many compliments</t>
  </si>
  <si>
    <t>6.56</t>
  </si>
  <si>
    <t>5.36</t>
  </si>
  <si>
    <t>30.74</t>
  </si>
  <si>
    <t>took long bc i needed to make a new recipe and make many changes to selections</t>
  </si>
  <si>
    <t>24.03</t>
  </si>
  <si>
    <t>42.08</t>
  </si>
  <si>
    <t>2026-09-09</t>
  </si>
  <si>
    <t>3 West &amp; ICU</t>
  </si>
  <si>
    <t>4.03</t>
  </si>
  <si>
    <t>8.86</t>
  </si>
  <si>
    <t>npo sign on door</t>
  </si>
  <si>
    <t>7.54</t>
  </si>
  <si>
    <t>pt discussed getting too many trays d/t diet changes</t>
  </si>
  <si>
    <t>c14</t>
  </si>
  <si>
    <t>4.18</t>
  </si>
  <si>
    <t>47.21</t>
  </si>
  <si>
    <t>38.47</t>
  </si>
  <si>
    <t>DISCHARGING</t>
  </si>
  <si>
    <t>A04</t>
  </si>
  <si>
    <t>WITH NURSE/PROVIDER</t>
  </si>
  <si>
    <t>C14</t>
  </si>
  <si>
    <t>PATIENT IS AIRBORNE PRECAUTION</t>
  </si>
  <si>
    <t>PATIENT CARE PROCEDURE</t>
  </si>
  <si>
    <t>ICU-4</t>
  </si>
  <si>
    <t>PATIENT UNAVAILABLE</t>
  </si>
  <si>
    <t>2026-09-11</t>
  </si>
  <si>
    <t>6.31</t>
  </si>
  <si>
    <t>12.10</t>
  </si>
  <si>
    <t>droplet precautions</t>
  </si>
  <si>
    <t>6.78</t>
  </si>
  <si>
    <t>5.14</t>
  </si>
  <si>
    <t>25.43</t>
  </si>
  <si>
    <t>17.99</t>
  </si>
  <si>
    <t>3a01</t>
  </si>
  <si>
    <t>3a05</t>
  </si>
  <si>
    <t>3a09</t>
  </si>
  <si>
    <t>3a19</t>
  </si>
  <si>
    <t>Pt doesn't want fruit juice</t>
  </si>
  <si>
    <t>Pt doesn’t want tea</t>
  </si>
  <si>
    <t>2026-09-14</t>
  </si>
  <si>
    <t>9.75</t>
  </si>
  <si>
    <t>6.25</t>
  </si>
  <si>
    <t>5.47</t>
  </si>
  <si>
    <t>got cut off so he can go to xray</t>
  </si>
  <si>
    <t>19</t>
  </si>
  <si>
    <t>cart in front of door</t>
  </si>
  <si>
    <t>5.93</t>
  </si>
  <si>
    <t>8.09</t>
  </si>
  <si>
    <t>14.71</t>
  </si>
  <si>
    <t>10.85</t>
  </si>
  <si>
    <t>48.75</t>
  </si>
  <si>
    <t>29.05</t>
  </si>
  <si>
    <t>2026-09-16</t>
  </si>
  <si>
    <t>4.66</t>
  </si>
  <si>
    <t>6.67</t>
  </si>
  <si>
    <t>only did today's meals. expects to leave tonight</t>
  </si>
  <si>
    <t>10.42</t>
  </si>
  <si>
    <t>change timer. i was in here about 12 mintues</t>
  </si>
  <si>
    <t>24.08</t>
  </si>
  <si>
    <t>wife spoke mostly on his behalf</t>
  </si>
  <si>
    <t>icu02</t>
  </si>
  <si>
    <t>3.17</t>
  </si>
  <si>
    <t>icu04</t>
  </si>
  <si>
    <t>4.31</t>
  </si>
  <si>
    <t>19.21</t>
  </si>
  <si>
    <t>discharging. "coffee is horrendous"</t>
  </si>
  <si>
    <t>33.02</t>
  </si>
  <si>
    <t>1:30 PM</t>
  </si>
  <si>
    <t>10:30 AM</t>
  </si>
  <si>
    <t>9:30 AM</t>
  </si>
  <si>
    <t>10:00 AM</t>
  </si>
  <si>
    <t>A09</t>
  </si>
  <si>
    <t>ICU 2</t>
  </si>
  <si>
    <t>7:00 PM</t>
  </si>
  <si>
    <t>2c01</t>
  </si>
  <si>
    <t>Pt aspirated and needs a diet change, speech consult for tmw. Did not complete select menu process.</t>
  </si>
  <si>
    <t>One on one supervision says pt is unable to complete meal selection process. Mental cognition is not available.</t>
  </si>
  <si>
    <t>Pt is concerned about diabetes and meal selection process.</t>
  </si>
  <si>
    <t>2b20</t>
  </si>
  <si>
    <t>Pt says that fortified hot cereals have been clumpy with fortifier and it is stuck to the bottom of bowl.</t>
  </si>
  <si>
    <t>2026-09-18</t>
  </si>
  <si>
    <t>24.01</t>
  </si>
  <si>
    <t>saw dawn &amp; yapped</t>
  </si>
  <si>
    <t>5.76</t>
  </si>
  <si>
    <t>1.47</t>
  </si>
  <si>
    <t>pt expects to DC tonight, only confirmed dinner tray for tonight</t>
  </si>
  <si>
    <t>7.13</t>
  </si>
  <si>
    <t>locked out of pt RSC d/t RD. kicked out but session wasn't terminated. Wife spoke on pt's behalf</t>
  </si>
  <si>
    <t>21</t>
  </si>
  <si>
    <t>could not get to room</t>
  </si>
  <si>
    <t>3.67</t>
  </si>
  <si>
    <t>4.78</t>
  </si>
  <si>
    <t>7.73</t>
  </si>
  <si>
    <t>14.87</t>
  </si>
  <si>
    <t>47.22</t>
  </si>
  <si>
    <t>48.40</t>
  </si>
  <si>
    <t>3:30 PM</t>
  </si>
  <si>
    <t>Patient should be removed from select menu.  He does not communicate well due to mental illness.</t>
  </si>
  <si>
    <t>A17</t>
  </si>
  <si>
    <t>ICU</t>
  </si>
  <si>
    <t>icu4</t>
  </si>
  <si>
    <t>3A04</t>
  </si>
  <si>
    <t>sleeping pt</t>
  </si>
  <si>
    <t>3A06</t>
  </si>
  <si>
    <t>walking</t>
  </si>
  <si>
    <t>3A17</t>
  </si>
  <si>
    <t>pt is not able to make menu selections</t>
  </si>
  <si>
    <t>pt says the ff cream of wheat needs to be stirred better</t>
  </si>
  <si>
    <t>11:00 PM</t>
  </si>
  <si>
    <t>2026-09-21</t>
  </si>
  <si>
    <t>3.89</t>
  </si>
  <si>
    <t>w/ providerj</t>
  </si>
  <si>
    <t>6.07</t>
  </si>
  <si>
    <t>droplet precaution</t>
  </si>
  <si>
    <t>10.51</t>
  </si>
  <si>
    <t>12.07</t>
  </si>
  <si>
    <t>14.47</t>
  </si>
  <si>
    <t>36.33</t>
  </si>
  <si>
    <t>2026-09-22</t>
  </si>
  <si>
    <t>5.69</t>
  </si>
  <si>
    <t>pt's wife spoke on his behalf</t>
  </si>
  <si>
    <t>8.39</t>
  </si>
  <si>
    <t>4.23</t>
  </si>
  <si>
    <t>3.84</t>
  </si>
  <si>
    <t>icu6</t>
  </si>
  <si>
    <t>8.79</t>
  </si>
  <si>
    <t>4.40</t>
  </si>
  <si>
    <t>16.85</t>
  </si>
  <si>
    <t>9.96</t>
  </si>
  <si>
    <t>4.99</t>
  </si>
  <si>
    <t>50.23</t>
  </si>
  <si>
    <t>15.04</t>
  </si>
  <si>
    <t>51.22</t>
  </si>
  <si>
    <t>2026-09-23</t>
  </si>
  <si>
    <t>9.28</t>
  </si>
  <si>
    <t>pt expressed difficulty swallowing and has not seen an RD. I sent a message in Teams. We only did her dinner tray for tonight, with foods she'll be able to swallow.</t>
  </si>
  <si>
    <t>7.52</t>
  </si>
  <si>
    <t>door closed w/ guest</t>
  </si>
  <si>
    <t>airborne precautions</t>
  </si>
  <si>
    <t>29.40</t>
  </si>
  <si>
    <t>14.12</t>
  </si>
  <si>
    <t>sleeping. tried to wake up, no success</t>
  </si>
  <si>
    <t>4.04</t>
  </si>
  <si>
    <t>31.54</t>
  </si>
  <si>
    <t>2.93</t>
  </si>
  <si>
    <t>78.23</t>
  </si>
  <si>
    <t>2026-09-24</t>
  </si>
  <si>
    <t>0.30</t>
  </si>
  <si>
    <t>expects to dc tomorrow. so we did not go over dinner</t>
  </si>
  <si>
    <t>9.63</t>
  </si>
  <si>
    <t>12.53</t>
  </si>
  <si>
    <t>possible discharge</t>
  </si>
  <si>
    <t>room closed off/ pt unavailable</t>
  </si>
  <si>
    <t>3.19</t>
  </si>
  <si>
    <t>7.48</t>
  </si>
  <si>
    <t>discharging in a few minutes</t>
  </si>
  <si>
    <t>39.03</t>
  </si>
  <si>
    <t>1.67</t>
  </si>
  <si>
    <t>18.63</t>
  </si>
  <si>
    <t>2C14</t>
  </si>
  <si>
    <t>Doctor was the liaison for the meal selection as I am not permitted access to this room.</t>
  </si>
  <si>
    <t>icu2</t>
  </si>
  <si>
    <t>3A09</t>
  </si>
  <si>
    <t>sleeping - nurse says do not wake him up.</t>
  </si>
  <si>
    <t>5:00 PM</t>
  </si>
  <si>
    <t>SLEEPING CHOSE MEAL FOR HIM</t>
  </si>
  <si>
    <t>Patient says veggies are not cooked enough and brussels sprouts were too dry.</t>
  </si>
  <si>
    <t>6:30 PM</t>
  </si>
  <si>
    <t>AIRBORNE PRECAUTION CHOSE MAIN MEAL MINUS DISLIKES OF CHOLULA</t>
  </si>
  <si>
    <t>A05</t>
  </si>
  <si>
    <t>D06</t>
  </si>
  <si>
    <t>icu - 3</t>
  </si>
  <si>
    <t>3A31</t>
  </si>
  <si>
    <t>patient wants more hot cereal with breakfast</t>
  </si>
  <si>
    <t>wants a softer diet</t>
  </si>
  <si>
    <t>2c14</t>
  </si>
  <si>
    <t>cannot enter room</t>
  </si>
  <si>
    <t>5:30 PM</t>
  </si>
  <si>
    <t>2026-09-25</t>
  </si>
  <si>
    <t>2026-09-26</t>
  </si>
  <si>
    <t>2026-09-27</t>
  </si>
  <si>
    <t>2026-09-19</t>
  </si>
  <si>
    <t>2026-09-20</t>
  </si>
  <si>
    <t>2026-09-17</t>
  </si>
  <si>
    <t>2026-09-12</t>
  </si>
  <si>
    <t>2026-09-13</t>
  </si>
  <si>
    <t>2026-09-10</t>
  </si>
  <si>
    <t>2026-08-28</t>
  </si>
  <si>
    <t>2026-08-29</t>
  </si>
  <si>
    <t>2026-08-30</t>
  </si>
  <si>
    <t>2026-08-23</t>
  </si>
  <si>
    <t>2026-09-28</t>
  </si>
  <si>
    <t>5.32</t>
  </si>
  <si>
    <t>Pt mentioned being vegetarian but has not seen RD. Decided to not move forward w/ selection process</t>
  </si>
  <si>
    <t>4.97</t>
  </si>
  <si>
    <t>pt did not receive items on "Center" of ticket</t>
  </si>
  <si>
    <t>10.32</t>
  </si>
  <si>
    <t>reviewed dislikes</t>
  </si>
  <si>
    <t>12:00 PM</t>
  </si>
  <si>
    <t>25.86</t>
  </si>
  <si>
    <t>9.20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</si>
</sst>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/>
    <xf numFmtId="2" fontId="0" fillId="0" borderId="0" xfId="0" applyNumberForma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49" fontId="3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varez, Crystal G." id="{B0222AE6-AF6F-41BD-8FED-9B34C95F4750}" userId="Alvarez, Crystal G.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" dT="2026-08-11T17:42:59.99" personId="{B0222AE6-AF6F-41BD-8FED-9B34C95F4750}" id="{D3FF7735-12CE-4124-B812-530317C3CDB5}">
    <text>Data from these two days is assumed, ass I did not track any data whatsoever.</text>
  </threadedComment>
  <threadedComment ref="A7" dT="2026-08-11T17:45:45.21" personId="{B0222AE6-AF6F-41BD-8FED-9B34C95F4750}" id="{633BB6FF-50A6-45FA-B27C-354642007C57}">
    <text>Data for this day is assumed, as I did not track any data.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4"/>
  <sheetViews>
    <sheetView zoomScaleNormal="100" workbookViewId="0">
      <pane xSplit="1" ySplit="1" topLeftCell="B375" activePane="bottomRight" state="frozen"/>
      <selection pane="topRight" activeCell="B1" sqref="B1"/>
      <selection pane="bottomLeft" activeCell="A2" sqref="A2"/>
      <selection pane="bottomRight" activeCell="H401" sqref="H401"/>
    </sheetView>
  </sheetViews>
  <sheetFormatPr defaultRowHeight="15.5" x14ac:dyDescent="0.35"/>
  <cols>
    <col min="1" max="1" width="14.83203125" customWidth="1"/>
    <col min="2" max="2" width="15.08203125" customWidth="1"/>
    <col min="3" max="3" width="16.08203125" style="15" customWidth="1"/>
    <col min="4" max="4" width="8.83203125" customWidth="1"/>
    <col min="5" max="5" width="10.83203125" style="12" customWidth="1"/>
    <col min="6" max="6" width="21.08203125" style="1" customWidth="1"/>
    <col min="7" max="7" width="36.83203125" customWidth="1"/>
    <col min="8" max="8" width="24.25" customWidth="1"/>
  </cols>
  <sheetData>
    <row r="1" spans="1:8" x14ac:dyDescent="0.35">
      <c r="A1" t="s">
        <v>0</v>
      </c>
      <c r="B1" t="s">
        <v>1</v>
      </c>
      <c r="C1" s="15" t="s">
        <v>2</v>
      </c>
      <c r="D1" t="s">
        <v>3</v>
      </c>
      <c r="E1" s="12" t="s">
        <v>4</v>
      </c>
      <c r="F1" s="1" t="s">
        <v>5</v>
      </c>
      <c r="G1" t="s">
        <v>6</v>
      </c>
      <c r="H1" t="s">
        <v>223</v>
      </c>
    </row>
    <row r="2" spans="1:8" x14ac:dyDescent="0.35">
      <c r="A2" t="s">
        <v>9</v>
      </c>
      <c r="B2" t="s">
        <v>10</v>
      </c>
      <c r="C2" s="15" t="s">
        <v>11</v>
      </c>
      <c r="D2" t="s">
        <v>12</v>
      </c>
      <c r="E2" s="12" t="s">
        <v>13</v>
      </c>
      <c r="F2" s="1">
        <v>5.58</v>
      </c>
      <c r="G2" t="s">
        <v>14</v>
      </c>
    </row>
    <row r="3" spans="1:8" x14ac:dyDescent="0.35">
      <c r="A3" t="s">
        <v>9</v>
      </c>
      <c r="B3" t="s">
        <v>10</v>
      </c>
      <c r="C3" s="15" t="s">
        <v>11</v>
      </c>
      <c r="D3" t="s">
        <v>15</v>
      </c>
      <c r="E3" s="12" t="s">
        <v>13</v>
      </c>
      <c r="F3" s="1">
        <v>3.08</v>
      </c>
      <c r="G3" t="s">
        <v>14</v>
      </c>
    </row>
    <row r="4" spans="1:8" x14ac:dyDescent="0.35">
      <c r="A4" t="s">
        <v>9</v>
      </c>
      <c r="B4" t="s">
        <v>10</v>
      </c>
      <c r="C4" s="15" t="s">
        <v>11</v>
      </c>
      <c r="D4" t="s">
        <v>16</v>
      </c>
      <c r="E4" s="12" t="s">
        <v>17</v>
      </c>
      <c r="F4" s="1">
        <v>0</v>
      </c>
      <c r="G4" t="s">
        <v>14</v>
      </c>
    </row>
    <row r="5" spans="1:8" x14ac:dyDescent="0.35">
      <c r="A5" t="s">
        <v>9</v>
      </c>
      <c r="B5" t="s">
        <v>18</v>
      </c>
      <c r="C5" s="15" t="s">
        <v>11</v>
      </c>
      <c r="D5" t="s">
        <v>19</v>
      </c>
      <c r="E5" s="12" t="s">
        <v>13</v>
      </c>
      <c r="F5" s="1">
        <v>12.74</v>
      </c>
      <c r="G5" t="s">
        <v>20</v>
      </c>
    </row>
    <row r="6" spans="1:8" x14ac:dyDescent="0.35">
      <c r="A6" t="s">
        <v>21</v>
      </c>
      <c r="B6" t="s">
        <v>10</v>
      </c>
      <c r="C6" s="15" t="s">
        <v>22</v>
      </c>
      <c r="D6" t="s">
        <v>15</v>
      </c>
      <c r="E6" s="12" t="s">
        <v>13</v>
      </c>
      <c r="F6" s="1">
        <v>6</v>
      </c>
      <c r="G6" t="s">
        <v>14</v>
      </c>
    </row>
    <row r="7" spans="1:8" x14ac:dyDescent="0.35">
      <c r="A7" t="s">
        <v>21</v>
      </c>
      <c r="B7" t="s">
        <v>10</v>
      </c>
      <c r="C7" s="15" t="s">
        <v>22</v>
      </c>
      <c r="D7" t="s">
        <v>24</v>
      </c>
      <c r="E7" s="12" t="s">
        <v>13</v>
      </c>
      <c r="F7" s="1">
        <v>6</v>
      </c>
      <c r="G7" t="s">
        <v>14</v>
      </c>
    </row>
    <row r="8" spans="1:8" x14ac:dyDescent="0.35">
      <c r="A8" t="s">
        <v>21</v>
      </c>
      <c r="B8" t="s">
        <v>10</v>
      </c>
      <c r="C8" s="15" t="s">
        <v>22</v>
      </c>
      <c r="D8" t="s">
        <v>25</v>
      </c>
      <c r="E8" s="12" t="s">
        <v>17</v>
      </c>
      <c r="F8" s="1">
        <v>0</v>
      </c>
      <c r="G8" t="s">
        <v>14</v>
      </c>
    </row>
    <row r="9" spans="1:8" x14ac:dyDescent="0.35">
      <c r="A9" t="s">
        <v>21</v>
      </c>
      <c r="B9" t="s">
        <v>10</v>
      </c>
      <c r="C9" s="15" t="s">
        <v>11</v>
      </c>
      <c r="D9" t="s">
        <v>23</v>
      </c>
      <c r="E9" s="12" t="s">
        <v>13</v>
      </c>
      <c r="F9" s="1">
        <v>10</v>
      </c>
      <c r="G9" t="s">
        <v>14</v>
      </c>
    </row>
    <row r="10" spans="1:8" x14ac:dyDescent="0.35">
      <c r="A10" t="s">
        <v>21</v>
      </c>
      <c r="B10" t="s">
        <v>10</v>
      </c>
      <c r="C10" s="15" t="s">
        <v>11</v>
      </c>
      <c r="D10" t="s">
        <v>16</v>
      </c>
      <c r="E10" s="12" t="s">
        <v>17</v>
      </c>
      <c r="F10" s="1">
        <v>0</v>
      </c>
      <c r="G10" t="s">
        <v>26</v>
      </c>
      <c r="H10" t="s">
        <v>226</v>
      </c>
    </row>
    <row r="11" spans="1:8" x14ac:dyDescent="0.35">
      <c r="A11" t="s">
        <v>21</v>
      </c>
      <c r="B11" t="s">
        <v>18</v>
      </c>
      <c r="C11" s="15" t="s">
        <v>11</v>
      </c>
      <c r="D11" t="s">
        <v>19</v>
      </c>
      <c r="E11" s="12" t="s">
        <v>17</v>
      </c>
      <c r="F11" s="1">
        <v>0</v>
      </c>
      <c r="G11" t="s">
        <v>27</v>
      </c>
      <c r="H11" t="s">
        <v>226</v>
      </c>
    </row>
    <row r="12" spans="1:8" x14ac:dyDescent="0.35">
      <c r="A12" t="s">
        <v>21</v>
      </c>
      <c r="B12" t="s">
        <v>18</v>
      </c>
      <c r="C12" s="15" t="s">
        <v>11</v>
      </c>
      <c r="D12" t="s">
        <v>28</v>
      </c>
      <c r="E12" s="12" t="s">
        <v>13</v>
      </c>
      <c r="F12" s="1">
        <v>13.45</v>
      </c>
      <c r="G12" t="s">
        <v>14</v>
      </c>
    </row>
    <row r="13" spans="1:8" x14ac:dyDescent="0.35">
      <c r="A13" t="s">
        <v>21</v>
      </c>
      <c r="B13" t="s">
        <v>18</v>
      </c>
      <c r="C13" s="15" t="s">
        <v>11</v>
      </c>
      <c r="D13" t="s">
        <v>29</v>
      </c>
      <c r="E13" s="12" t="s">
        <v>13</v>
      </c>
      <c r="F13" s="1">
        <v>12.36</v>
      </c>
      <c r="G13" t="s">
        <v>14</v>
      </c>
    </row>
    <row r="14" spans="1:8" x14ac:dyDescent="0.35">
      <c r="A14" t="s">
        <v>21</v>
      </c>
      <c r="B14" t="s">
        <v>10</v>
      </c>
      <c r="C14" s="15" t="s">
        <v>11</v>
      </c>
      <c r="D14" t="s">
        <v>25</v>
      </c>
      <c r="E14" s="12" t="s">
        <v>13</v>
      </c>
      <c r="F14" s="1">
        <v>8.3699999999999992</v>
      </c>
      <c r="G14" t="s">
        <v>14</v>
      </c>
    </row>
    <row r="15" spans="1:8" x14ac:dyDescent="0.35">
      <c r="A15" t="s">
        <v>30</v>
      </c>
      <c r="B15" t="s">
        <v>10</v>
      </c>
      <c r="C15" s="15" t="s">
        <v>31</v>
      </c>
      <c r="D15" t="s">
        <v>32</v>
      </c>
      <c r="E15" s="12" t="s">
        <v>13</v>
      </c>
      <c r="F15" s="1">
        <v>13.87</v>
      </c>
      <c r="G15" t="s">
        <v>14</v>
      </c>
    </row>
    <row r="16" spans="1:8" x14ac:dyDescent="0.35">
      <c r="A16" t="s">
        <v>30</v>
      </c>
      <c r="B16" t="s">
        <v>10</v>
      </c>
      <c r="C16" s="15" t="s">
        <v>31</v>
      </c>
      <c r="D16" t="s">
        <v>33</v>
      </c>
      <c r="E16" s="12" t="s">
        <v>13</v>
      </c>
      <c r="F16" s="1">
        <v>12.53</v>
      </c>
      <c r="G16" t="s">
        <v>14</v>
      </c>
    </row>
    <row r="17" spans="1:8" x14ac:dyDescent="0.35">
      <c r="A17" t="s">
        <v>30</v>
      </c>
      <c r="B17" t="s">
        <v>10</v>
      </c>
      <c r="C17" s="15" t="s">
        <v>31</v>
      </c>
      <c r="D17" t="s">
        <v>34</v>
      </c>
      <c r="E17" s="12" t="s">
        <v>13</v>
      </c>
      <c r="F17" s="1">
        <v>0.01</v>
      </c>
      <c r="G17" t="s">
        <v>14</v>
      </c>
    </row>
    <row r="18" spans="1:8" x14ac:dyDescent="0.35">
      <c r="A18" t="s">
        <v>30</v>
      </c>
      <c r="B18" t="s">
        <v>10</v>
      </c>
      <c r="C18" s="15" t="s">
        <v>31</v>
      </c>
      <c r="D18" t="s">
        <v>34</v>
      </c>
      <c r="E18" s="12" t="s">
        <v>13</v>
      </c>
      <c r="F18" s="1">
        <v>5.29</v>
      </c>
      <c r="G18" t="s">
        <v>14</v>
      </c>
    </row>
    <row r="19" spans="1:8" x14ac:dyDescent="0.35">
      <c r="A19" t="s">
        <v>30</v>
      </c>
      <c r="B19" t="s">
        <v>10</v>
      </c>
      <c r="C19" s="15" t="s">
        <v>31</v>
      </c>
      <c r="D19" t="s">
        <v>24</v>
      </c>
      <c r="E19" s="12" t="s">
        <v>17</v>
      </c>
      <c r="F19" s="1">
        <v>0</v>
      </c>
      <c r="G19" t="s">
        <v>14</v>
      </c>
    </row>
    <row r="20" spans="1:8" x14ac:dyDescent="0.35">
      <c r="A20" t="s">
        <v>30</v>
      </c>
      <c r="B20" t="s">
        <v>18</v>
      </c>
      <c r="C20" s="15" t="s">
        <v>31</v>
      </c>
      <c r="D20" t="s">
        <v>29</v>
      </c>
      <c r="E20" s="12" t="s">
        <v>13</v>
      </c>
      <c r="F20" s="1">
        <v>8.25</v>
      </c>
      <c r="G20" t="s">
        <v>14</v>
      </c>
    </row>
    <row r="21" spans="1:8" x14ac:dyDescent="0.35">
      <c r="A21" t="s">
        <v>35</v>
      </c>
      <c r="B21" t="s">
        <v>10</v>
      </c>
      <c r="C21" s="15" t="s">
        <v>22</v>
      </c>
      <c r="D21" t="s">
        <v>36</v>
      </c>
      <c r="E21" s="12" t="s">
        <v>13</v>
      </c>
      <c r="F21" s="1">
        <v>3.66</v>
      </c>
      <c r="G21" t="s">
        <v>14</v>
      </c>
    </row>
    <row r="22" spans="1:8" x14ac:dyDescent="0.35">
      <c r="A22" t="s">
        <v>35</v>
      </c>
      <c r="B22" t="s">
        <v>10</v>
      </c>
      <c r="C22" s="15" t="s">
        <v>22</v>
      </c>
      <c r="D22" t="s">
        <v>32</v>
      </c>
      <c r="E22" s="12" t="s">
        <v>13</v>
      </c>
      <c r="F22" s="1">
        <v>9.0399999999999991</v>
      </c>
      <c r="G22" t="s">
        <v>14</v>
      </c>
    </row>
    <row r="23" spans="1:8" x14ac:dyDescent="0.35">
      <c r="A23" t="s">
        <v>35</v>
      </c>
      <c r="B23" t="s">
        <v>10</v>
      </c>
      <c r="C23" s="15" t="s">
        <v>22</v>
      </c>
      <c r="D23" t="s">
        <v>37</v>
      </c>
      <c r="E23" s="12" t="s">
        <v>13</v>
      </c>
      <c r="F23" s="1">
        <v>0.04</v>
      </c>
      <c r="G23" t="s">
        <v>38</v>
      </c>
    </row>
    <row r="24" spans="1:8" x14ac:dyDescent="0.35">
      <c r="A24" t="s">
        <v>35</v>
      </c>
      <c r="B24" t="s">
        <v>10</v>
      </c>
      <c r="C24" s="15" t="s">
        <v>22</v>
      </c>
      <c r="D24" t="s">
        <v>34</v>
      </c>
      <c r="E24" s="12" t="s">
        <v>13</v>
      </c>
      <c r="F24" s="1">
        <v>1.96</v>
      </c>
      <c r="G24" t="s">
        <v>14</v>
      </c>
    </row>
    <row r="25" spans="1:8" x14ac:dyDescent="0.35">
      <c r="A25" t="s">
        <v>35</v>
      </c>
      <c r="B25" t="s">
        <v>18</v>
      </c>
      <c r="C25" s="15" t="s">
        <v>22</v>
      </c>
      <c r="D25" t="s">
        <v>29</v>
      </c>
      <c r="E25" s="12" t="s">
        <v>17</v>
      </c>
      <c r="F25" s="1">
        <v>0</v>
      </c>
      <c r="G25" t="s">
        <v>39</v>
      </c>
      <c r="H25" t="s">
        <v>226</v>
      </c>
    </row>
    <row r="26" spans="1:8" x14ac:dyDescent="0.35">
      <c r="A26" t="s">
        <v>35</v>
      </c>
      <c r="B26" t="s">
        <v>18</v>
      </c>
      <c r="C26" s="15" t="s">
        <v>22</v>
      </c>
      <c r="D26" t="s">
        <v>40</v>
      </c>
      <c r="E26" s="12" t="s">
        <v>17</v>
      </c>
      <c r="F26" s="1">
        <v>0</v>
      </c>
      <c r="G26" t="s">
        <v>41</v>
      </c>
      <c r="H26" t="s">
        <v>227</v>
      </c>
    </row>
    <row r="27" spans="1:8" x14ac:dyDescent="0.35">
      <c r="A27" t="s">
        <v>35</v>
      </c>
      <c r="B27" t="s">
        <v>18</v>
      </c>
      <c r="C27" s="15" t="s">
        <v>22</v>
      </c>
      <c r="D27" t="s">
        <v>28</v>
      </c>
      <c r="E27" s="12" t="s">
        <v>17</v>
      </c>
      <c r="F27" s="1">
        <v>0</v>
      </c>
      <c r="G27" t="s">
        <v>41</v>
      </c>
      <c r="H27" t="s">
        <v>227</v>
      </c>
    </row>
    <row r="28" spans="1:8" x14ac:dyDescent="0.35">
      <c r="A28" t="s">
        <v>35</v>
      </c>
      <c r="B28" t="s">
        <v>18</v>
      </c>
      <c r="C28" s="15" t="s">
        <v>31</v>
      </c>
      <c r="D28" t="s">
        <v>28</v>
      </c>
      <c r="E28" s="12" t="s">
        <v>13</v>
      </c>
      <c r="F28" s="1">
        <v>0.53</v>
      </c>
      <c r="G28" t="s">
        <v>81</v>
      </c>
    </row>
    <row r="29" spans="1:8" x14ac:dyDescent="0.35">
      <c r="A29" t="s">
        <v>35</v>
      </c>
      <c r="B29" t="s">
        <v>18</v>
      </c>
      <c r="C29" s="15" t="s">
        <v>31</v>
      </c>
      <c r="D29" t="s">
        <v>40</v>
      </c>
      <c r="E29" s="12" t="s">
        <v>17</v>
      </c>
      <c r="F29" s="1">
        <v>0</v>
      </c>
      <c r="G29" t="s">
        <v>82</v>
      </c>
      <c r="H29" t="s">
        <v>226</v>
      </c>
    </row>
    <row r="30" spans="1:8" x14ac:dyDescent="0.35">
      <c r="A30" t="s">
        <v>93</v>
      </c>
      <c r="B30" t="s">
        <v>10</v>
      </c>
      <c r="C30" s="15" t="s">
        <v>31</v>
      </c>
      <c r="D30" t="s">
        <v>94</v>
      </c>
      <c r="E30" s="12" t="s">
        <v>13</v>
      </c>
      <c r="F30" s="1">
        <v>26.11</v>
      </c>
      <c r="G30" t="s">
        <v>95</v>
      </c>
    </row>
    <row r="31" spans="1:8" x14ac:dyDescent="0.35">
      <c r="A31" t="s">
        <v>93</v>
      </c>
      <c r="B31" t="s">
        <v>10</v>
      </c>
      <c r="C31" s="15" t="s">
        <v>31</v>
      </c>
      <c r="D31" t="s">
        <v>36</v>
      </c>
      <c r="E31" s="12" t="s">
        <v>13</v>
      </c>
      <c r="F31" s="1">
        <v>3.34</v>
      </c>
      <c r="G31" t="s">
        <v>14</v>
      </c>
    </row>
    <row r="32" spans="1:8" x14ac:dyDescent="0.35">
      <c r="A32" t="s">
        <v>93</v>
      </c>
      <c r="B32" t="s">
        <v>10</v>
      </c>
      <c r="C32" s="15" t="s">
        <v>31</v>
      </c>
      <c r="D32" t="s">
        <v>32</v>
      </c>
      <c r="E32" s="12" t="s">
        <v>13</v>
      </c>
      <c r="F32" s="1">
        <v>10.62</v>
      </c>
      <c r="G32" t="s">
        <v>14</v>
      </c>
    </row>
    <row r="33" spans="1:8" x14ac:dyDescent="0.35">
      <c r="A33" t="s">
        <v>93</v>
      </c>
      <c r="B33" t="s">
        <v>10</v>
      </c>
      <c r="C33" s="15" t="s">
        <v>11</v>
      </c>
      <c r="D33" t="s">
        <v>24</v>
      </c>
      <c r="E33" s="12" t="s">
        <v>13</v>
      </c>
      <c r="F33" s="1">
        <v>14.36</v>
      </c>
      <c r="G33" t="s">
        <v>14</v>
      </c>
    </row>
    <row r="34" spans="1:8" x14ac:dyDescent="0.35">
      <c r="A34" t="s">
        <v>93</v>
      </c>
      <c r="B34" t="s">
        <v>10</v>
      </c>
      <c r="C34" s="15" t="s">
        <v>11</v>
      </c>
      <c r="D34" t="s">
        <v>34</v>
      </c>
      <c r="E34" s="12" t="s">
        <v>13</v>
      </c>
      <c r="F34" s="1">
        <v>1.01</v>
      </c>
      <c r="G34" t="s">
        <v>14</v>
      </c>
    </row>
    <row r="35" spans="1:8" x14ac:dyDescent="0.35">
      <c r="A35" t="s">
        <v>93</v>
      </c>
      <c r="B35" t="s">
        <v>18</v>
      </c>
      <c r="C35" s="15" t="s">
        <v>11</v>
      </c>
      <c r="D35" t="s">
        <v>19</v>
      </c>
      <c r="E35" s="12" t="s">
        <v>13</v>
      </c>
      <c r="F35" s="1">
        <v>3.89</v>
      </c>
      <c r="G35" t="s">
        <v>14</v>
      </c>
    </row>
    <row r="36" spans="1:8" x14ac:dyDescent="0.35">
      <c r="A36" t="s">
        <v>93</v>
      </c>
      <c r="B36" t="s">
        <v>18</v>
      </c>
      <c r="C36" s="15" t="s">
        <v>11</v>
      </c>
      <c r="D36" t="s">
        <v>96</v>
      </c>
      <c r="E36" s="12" t="s">
        <v>13</v>
      </c>
      <c r="F36" s="1">
        <v>3.28</v>
      </c>
      <c r="G36" t="s">
        <v>14</v>
      </c>
    </row>
    <row r="37" spans="1:8" x14ac:dyDescent="0.35">
      <c r="A37" t="s">
        <v>93</v>
      </c>
      <c r="B37" t="s">
        <v>18</v>
      </c>
      <c r="C37" s="15" t="s">
        <v>11</v>
      </c>
      <c r="D37" t="s">
        <v>12</v>
      </c>
      <c r="E37" s="12" t="s">
        <v>17</v>
      </c>
      <c r="F37" s="1" t="s">
        <v>14</v>
      </c>
      <c r="G37" t="s">
        <v>97</v>
      </c>
      <c r="H37" t="s">
        <v>228</v>
      </c>
    </row>
    <row r="38" spans="1:8" x14ac:dyDescent="0.35">
      <c r="A38" t="s">
        <v>93</v>
      </c>
      <c r="B38" t="s">
        <v>18</v>
      </c>
      <c r="C38" s="15" t="s">
        <v>11</v>
      </c>
      <c r="D38" t="s">
        <v>24</v>
      </c>
      <c r="E38" s="12" t="s">
        <v>17</v>
      </c>
      <c r="F38" s="1" t="s">
        <v>14</v>
      </c>
      <c r="G38" t="s">
        <v>98</v>
      </c>
      <c r="H38" t="s">
        <v>231</v>
      </c>
    </row>
    <row r="39" spans="1:8" x14ac:dyDescent="0.35">
      <c r="A39" t="s">
        <v>99</v>
      </c>
      <c r="B39" t="s">
        <v>10</v>
      </c>
      <c r="C39" s="15" t="s">
        <v>11</v>
      </c>
      <c r="D39" t="s">
        <v>94</v>
      </c>
      <c r="E39" s="12" t="s">
        <v>13</v>
      </c>
      <c r="F39" s="1">
        <v>12.97</v>
      </c>
      <c r="G39" t="s">
        <v>14</v>
      </c>
    </row>
    <row r="40" spans="1:8" x14ac:dyDescent="0.35">
      <c r="A40" t="s">
        <v>99</v>
      </c>
      <c r="B40" t="s">
        <v>10</v>
      </c>
      <c r="C40" s="15" t="s">
        <v>11</v>
      </c>
      <c r="D40" t="s">
        <v>24</v>
      </c>
      <c r="E40" s="12" t="s">
        <v>17</v>
      </c>
      <c r="F40" s="1" t="s">
        <v>14</v>
      </c>
      <c r="G40" t="s">
        <v>100</v>
      </c>
      <c r="H40" t="s">
        <v>226</v>
      </c>
    </row>
    <row r="41" spans="1:8" x14ac:dyDescent="0.35">
      <c r="A41" t="s">
        <v>99</v>
      </c>
      <c r="B41" t="s">
        <v>10</v>
      </c>
      <c r="C41" s="15" t="s">
        <v>11</v>
      </c>
      <c r="D41" t="s">
        <v>34</v>
      </c>
      <c r="E41" s="12" t="s">
        <v>13</v>
      </c>
      <c r="F41" s="1">
        <v>1.07</v>
      </c>
      <c r="G41" t="s">
        <v>101</v>
      </c>
    </row>
    <row r="42" spans="1:8" x14ac:dyDescent="0.35">
      <c r="A42" t="s">
        <v>99</v>
      </c>
      <c r="B42" t="s">
        <v>10</v>
      </c>
      <c r="C42" s="15" t="s">
        <v>11</v>
      </c>
      <c r="D42" t="s">
        <v>33</v>
      </c>
      <c r="E42" s="12" t="s">
        <v>17</v>
      </c>
      <c r="F42" s="1" t="s">
        <v>14</v>
      </c>
      <c r="G42" t="s">
        <v>102</v>
      </c>
      <c r="H42" t="s">
        <v>229</v>
      </c>
    </row>
    <row r="43" spans="1:8" x14ac:dyDescent="0.35">
      <c r="A43" t="s">
        <v>99</v>
      </c>
      <c r="B43" t="s">
        <v>18</v>
      </c>
      <c r="C43" s="15" t="s">
        <v>11</v>
      </c>
      <c r="D43" t="s">
        <v>96</v>
      </c>
      <c r="E43" s="12" t="s">
        <v>17</v>
      </c>
      <c r="F43" s="1" t="s">
        <v>14</v>
      </c>
      <c r="G43" t="s">
        <v>102</v>
      </c>
      <c r="H43" t="s">
        <v>229</v>
      </c>
    </row>
    <row r="44" spans="1:8" x14ac:dyDescent="0.35">
      <c r="A44" t="s">
        <v>99</v>
      </c>
      <c r="B44" t="s">
        <v>18</v>
      </c>
      <c r="C44" s="15" t="s">
        <v>11</v>
      </c>
      <c r="D44" t="s">
        <v>103</v>
      </c>
      <c r="E44" s="12" t="s">
        <v>13</v>
      </c>
      <c r="F44" s="1">
        <v>5.52</v>
      </c>
      <c r="G44" t="s">
        <v>14</v>
      </c>
    </row>
    <row r="45" spans="1:8" x14ac:dyDescent="0.35">
      <c r="A45" t="s">
        <v>99</v>
      </c>
      <c r="B45" t="s">
        <v>18</v>
      </c>
      <c r="C45" s="15" t="s">
        <v>11</v>
      </c>
      <c r="D45" t="s">
        <v>28</v>
      </c>
      <c r="E45" s="12" t="s">
        <v>17</v>
      </c>
      <c r="F45" s="1" t="s">
        <v>14</v>
      </c>
      <c r="G45" t="s">
        <v>104</v>
      </c>
      <c r="H45" t="s">
        <v>231</v>
      </c>
    </row>
    <row r="46" spans="1:8" x14ac:dyDescent="0.35">
      <c r="A46" t="s">
        <v>99</v>
      </c>
      <c r="B46" t="s">
        <v>18</v>
      </c>
      <c r="C46" s="15" t="s">
        <v>11</v>
      </c>
      <c r="D46" t="s">
        <v>12</v>
      </c>
      <c r="E46" s="12" t="s">
        <v>17</v>
      </c>
      <c r="F46" s="1" t="s">
        <v>14</v>
      </c>
      <c r="G46" t="s">
        <v>105</v>
      </c>
      <c r="H46" t="s">
        <v>227</v>
      </c>
    </row>
    <row r="47" spans="1:8" x14ac:dyDescent="0.35">
      <c r="A47" t="s">
        <v>99</v>
      </c>
      <c r="B47" t="s">
        <v>18</v>
      </c>
      <c r="C47" s="15" t="s">
        <v>11</v>
      </c>
      <c r="D47" t="s">
        <v>24</v>
      </c>
      <c r="E47" s="12" t="s">
        <v>17</v>
      </c>
      <c r="F47" s="1" t="s">
        <v>14</v>
      </c>
      <c r="G47" t="s">
        <v>106</v>
      </c>
      <c r="H47" t="s">
        <v>227</v>
      </c>
    </row>
    <row r="48" spans="1:8" x14ac:dyDescent="0.35">
      <c r="A48" t="s">
        <v>107</v>
      </c>
      <c r="B48" t="s">
        <v>10</v>
      </c>
      <c r="C48" s="15" t="s">
        <v>11</v>
      </c>
      <c r="D48" t="s">
        <v>32</v>
      </c>
      <c r="E48" s="12" t="s">
        <v>17</v>
      </c>
      <c r="F48" s="1" t="s">
        <v>14</v>
      </c>
      <c r="G48" t="s">
        <v>105</v>
      </c>
      <c r="H48" t="s">
        <v>227</v>
      </c>
    </row>
    <row r="49" spans="1:8" x14ac:dyDescent="0.35">
      <c r="A49" t="s">
        <v>107</v>
      </c>
      <c r="B49" t="s">
        <v>10</v>
      </c>
      <c r="C49" s="15" t="s">
        <v>11</v>
      </c>
      <c r="D49" t="s">
        <v>37</v>
      </c>
      <c r="E49" s="12" t="s">
        <v>17</v>
      </c>
      <c r="F49" s="1" t="s">
        <v>14</v>
      </c>
      <c r="G49" t="s">
        <v>108</v>
      </c>
      <c r="H49" t="s">
        <v>228</v>
      </c>
    </row>
    <row r="50" spans="1:8" x14ac:dyDescent="0.35">
      <c r="A50" t="s">
        <v>107</v>
      </c>
      <c r="B50" t="s">
        <v>10</v>
      </c>
      <c r="C50" s="15" t="s">
        <v>11</v>
      </c>
      <c r="D50" t="s">
        <v>34</v>
      </c>
      <c r="E50" s="12" t="s">
        <v>13</v>
      </c>
      <c r="F50" s="1">
        <v>3.39</v>
      </c>
      <c r="G50" t="s">
        <v>14</v>
      </c>
    </row>
    <row r="51" spans="1:8" x14ac:dyDescent="0.35">
      <c r="A51" t="s">
        <v>107</v>
      </c>
      <c r="B51" t="s">
        <v>18</v>
      </c>
      <c r="C51" s="15" t="s">
        <v>11</v>
      </c>
      <c r="D51" t="s">
        <v>103</v>
      </c>
      <c r="E51" s="12" t="s">
        <v>13</v>
      </c>
      <c r="F51" s="1">
        <v>2.42</v>
      </c>
      <c r="G51" t="s">
        <v>14</v>
      </c>
    </row>
    <row r="52" spans="1:8" x14ac:dyDescent="0.35">
      <c r="A52" t="s">
        <v>107</v>
      </c>
      <c r="B52" t="s">
        <v>18</v>
      </c>
      <c r="C52" s="15" t="s">
        <v>11</v>
      </c>
      <c r="D52" t="s">
        <v>96</v>
      </c>
      <c r="E52" s="12" t="s">
        <v>13</v>
      </c>
      <c r="F52" s="1">
        <v>23.01</v>
      </c>
      <c r="G52" t="s">
        <v>14</v>
      </c>
    </row>
    <row r="53" spans="1:8" x14ac:dyDescent="0.35">
      <c r="A53" t="s">
        <v>109</v>
      </c>
      <c r="B53" t="s">
        <v>10</v>
      </c>
      <c r="C53" s="15" t="s">
        <v>11</v>
      </c>
      <c r="D53" t="s">
        <v>36</v>
      </c>
      <c r="E53" s="12" t="s">
        <v>13</v>
      </c>
      <c r="F53" s="1">
        <v>3.93</v>
      </c>
      <c r="G53" t="s">
        <v>14</v>
      </c>
    </row>
    <row r="54" spans="1:8" x14ac:dyDescent="0.35">
      <c r="A54" t="s">
        <v>109</v>
      </c>
      <c r="B54" t="s">
        <v>10</v>
      </c>
      <c r="C54" s="15" t="s">
        <v>11</v>
      </c>
      <c r="D54" t="s">
        <v>94</v>
      </c>
      <c r="E54" s="12" t="s">
        <v>13</v>
      </c>
      <c r="F54" s="1">
        <v>4.3899999999999997</v>
      </c>
    </row>
    <row r="55" spans="1:8" x14ac:dyDescent="0.35">
      <c r="A55" t="s">
        <v>109</v>
      </c>
      <c r="B55" t="s">
        <v>10</v>
      </c>
      <c r="C55" s="15" t="s">
        <v>11</v>
      </c>
      <c r="D55" t="s">
        <v>110</v>
      </c>
      <c r="E55" s="12" t="s">
        <v>13</v>
      </c>
      <c r="F55" s="1">
        <v>8.07</v>
      </c>
    </row>
    <row r="56" spans="1:8" x14ac:dyDescent="0.35">
      <c r="A56" t="s">
        <v>109</v>
      </c>
      <c r="B56" t="s">
        <v>10</v>
      </c>
      <c r="C56" s="15" t="s">
        <v>11</v>
      </c>
      <c r="D56" t="s">
        <v>32</v>
      </c>
      <c r="E56" s="12" t="s">
        <v>17</v>
      </c>
      <c r="F56" s="1" t="s">
        <v>14</v>
      </c>
      <c r="G56" t="s">
        <v>111</v>
      </c>
      <c r="H56" t="s">
        <v>226</v>
      </c>
    </row>
    <row r="57" spans="1:8" x14ac:dyDescent="0.35">
      <c r="A57" t="s">
        <v>109</v>
      </c>
      <c r="B57" t="s">
        <v>10</v>
      </c>
      <c r="C57" s="15" t="s">
        <v>11</v>
      </c>
      <c r="D57" t="s">
        <v>37</v>
      </c>
      <c r="E57" s="12" t="s">
        <v>13</v>
      </c>
      <c r="F57" s="1">
        <v>1.76</v>
      </c>
      <c r="G57" t="s">
        <v>112</v>
      </c>
    </row>
    <row r="58" spans="1:8" x14ac:dyDescent="0.35">
      <c r="A58" t="s">
        <v>109</v>
      </c>
      <c r="B58" t="s">
        <v>10</v>
      </c>
      <c r="C58" s="15" t="s">
        <v>11</v>
      </c>
      <c r="D58" t="s">
        <v>113</v>
      </c>
      <c r="E58" s="12" t="s">
        <v>13</v>
      </c>
      <c r="F58" s="1">
        <v>3.09</v>
      </c>
    </row>
    <row r="59" spans="1:8" x14ac:dyDescent="0.35">
      <c r="A59" t="s">
        <v>109</v>
      </c>
      <c r="B59" t="s">
        <v>10</v>
      </c>
      <c r="C59" s="15" t="s">
        <v>11</v>
      </c>
      <c r="D59" t="s">
        <v>114</v>
      </c>
      <c r="E59" s="12" t="s">
        <v>13</v>
      </c>
      <c r="F59" s="1">
        <v>4.4400000000000004</v>
      </c>
      <c r="G59" t="s">
        <v>14</v>
      </c>
    </row>
    <row r="60" spans="1:8" x14ac:dyDescent="0.35">
      <c r="A60" t="s">
        <v>109</v>
      </c>
      <c r="B60" t="s">
        <v>10</v>
      </c>
      <c r="C60" s="15" t="s">
        <v>11</v>
      </c>
      <c r="D60" t="s">
        <v>33</v>
      </c>
      <c r="E60" s="12" t="s">
        <v>13</v>
      </c>
      <c r="F60" s="1">
        <v>5.27</v>
      </c>
      <c r="G60" t="s">
        <v>14</v>
      </c>
    </row>
    <row r="61" spans="1:8" x14ac:dyDescent="0.35">
      <c r="A61" t="s">
        <v>109</v>
      </c>
      <c r="B61" t="s">
        <v>18</v>
      </c>
      <c r="C61" s="15" t="s">
        <v>11</v>
      </c>
      <c r="D61" t="s">
        <v>28</v>
      </c>
      <c r="E61" s="12" t="s">
        <v>13</v>
      </c>
      <c r="F61" s="1">
        <v>3.62</v>
      </c>
      <c r="G61" t="s">
        <v>14</v>
      </c>
    </row>
    <row r="62" spans="1:8" x14ac:dyDescent="0.35">
      <c r="A62" t="s">
        <v>109</v>
      </c>
      <c r="B62" t="s">
        <v>18</v>
      </c>
      <c r="C62" s="15" t="s">
        <v>11</v>
      </c>
      <c r="D62" t="s">
        <v>103</v>
      </c>
      <c r="E62" s="12" t="s">
        <v>13</v>
      </c>
      <c r="F62" s="1">
        <v>4.88</v>
      </c>
      <c r="G62" t="s">
        <v>14</v>
      </c>
    </row>
    <row r="63" spans="1:8" x14ac:dyDescent="0.35">
      <c r="A63" t="s">
        <v>115</v>
      </c>
      <c r="B63" t="s">
        <v>10</v>
      </c>
      <c r="C63" s="15" t="s">
        <v>22</v>
      </c>
      <c r="D63" t="s">
        <v>94</v>
      </c>
      <c r="E63" s="12" t="s">
        <v>13</v>
      </c>
      <c r="F63" s="1">
        <v>6.81</v>
      </c>
      <c r="G63" t="s">
        <v>14</v>
      </c>
    </row>
    <row r="64" spans="1:8" x14ac:dyDescent="0.35">
      <c r="A64" t="s">
        <v>115</v>
      </c>
      <c r="B64" t="s">
        <v>10</v>
      </c>
      <c r="C64" s="15" t="s">
        <v>22</v>
      </c>
      <c r="D64" t="s">
        <v>114</v>
      </c>
      <c r="E64" s="12" t="s">
        <v>13</v>
      </c>
      <c r="F64" s="1">
        <v>2.95</v>
      </c>
      <c r="G64" t="s">
        <v>14</v>
      </c>
    </row>
    <row r="65" spans="1:8" x14ac:dyDescent="0.35">
      <c r="A65" t="s">
        <v>115</v>
      </c>
      <c r="B65" t="s">
        <v>10</v>
      </c>
      <c r="C65" s="15" t="s">
        <v>22</v>
      </c>
      <c r="D65" t="s">
        <v>34</v>
      </c>
      <c r="E65" s="12" t="s">
        <v>13</v>
      </c>
      <c r="F65" s="1">
        <v>5.52</v>
      </c>
      <c r="G65" t="s">
        <v>14</v>
      </c>
    </row>
    <row r="66" spans="1:8" x14ac:dyDescent="0.35">
      <c r="A66" t="s">
        <v>115</v>
      </c>
      <c r="B66" t="s">
        <v>10</v>
      </c>
      <c r="C66" s="15" t="s">
        <v>22</v>
      </c>
      <c r="D66" t="s">
        <v>24</v>
      </c>
      <c r="E66" s="12" t="s">
        <v>13</v>
      </c>
      <c r="F66" s="1">
        <v>2.25</v>
      </c>
      <c r="G66" t="s">
        <v>14</v>
      </c>
    </row>
    <row r="67" spans="1:8" x14ac:dyDescent="0.35">
      <c r="A67" t="s">
        <v>115</v>
      </c>
      <c r="B67" t="s">
        <v>10</v>
      </c>
      <c r="C67" s="15" t="s">
        <v>22</v>
      </c>
      <c r="D67" t="s">
        <v>116</v>
      </c>
      <c r="E67" s="12" t="s">
        <v>13</v>
      </c>
      <c r="F67" s="1">
        <v>2.2799999999999998</v>
      </c>
      <c r="G67" t="s">
        <v>14</v>
      </c>
    </row>
    <row r="68" spans="1:8" x14ac:dyDescent="0.35">
      <c r="A68" t="s">
        <v>115</v>
      </c>
      <c r="B68" t="s">
        <v>10</v>
      </c>
      <c r="C68" s="15" t="s">
        <v>22</v>
      </c>
      <c r="D68" t="s">
        <v>15</v>
      </c>
      <c r="E68" s="12" t="s">
        <v>13</v>
      </c>
      <c r="F68" s="1">
        <v>3.72</v>
      </c>
      <c r="G68" t="s">
        <v>14</v>
      </c>
    </row>
    <row r="69" spans="1:8" x14ac:dyDescent="0.35">
      <c r="A69" t="s">
        <v>115</v>
      </c>
      <c r="B69" t="s">
        <v>10</v>
      </c>
      <c r="C69" s="15" t="s">
        <v>22</v>
      </c>
      <c r="D69" t="s">
        <v>36</v>
      </c>
      <c r="E69" s="12" t="s">
        <v>13</v>
      </c>
      <c r="F69" s="1">
        <v>3.57</v>
      </c>
      <c r="G69" t="s">
        <v>14</v>
      </c>
    </row>
    <row r="70" spans="1:8" x14ac:dyDescent="0.35">
      <c r="A70" t="s">
        <v>115</v>
      </c>
      <c r="B70" t="s">
        <v>10</v>
      </c>
      <c r="C70" s="15" t="s">
        <v>22</v>
      </c>
      <c r="D70" t="s">
        <v>37</v>
      </c>
      <c r="E70" s="12" t="s">
        <v>13</v>
      </c>
      <c r="F70" s="1">
        <v>3.66</v>
      </c>
      <c r="G70" t="s">
        <v>14</v>
      </c>
    </row>
    <row r="71" spans="1:8" x14ac:dyDescent="0.35">
      <c r="A71" t="s">
        <v>117</v>
      </c>
      <c r="B71" t="s">
        <v>10</v>
      </c>
      <c r="C71" s="15" t="s">
        <v>11</v>
      </c>
      <c r="D71" t="s">
        <v>94</v>
      </c>
      <c r="E71" s="12" t="s">
        <v>13</v>
      </c>
      <c r="F71" s="1" t="s">
        <v>118</v>
      </c>
      <c r="G71" t="s">
        <v>14</v>
      </c>
    </row>
    <row r="72" spans="1:8" x14ac:dyDescent="0.35">
      <c r="A72" t="s">
        <v>117</v>
      </c>
      <c r="B72" t="s">
        <v>10</v>
      </c>
      <c r="C72" s="15" t="s">
        <v>11</v>
      </c>
      <c r="D72" t="s">
        <v>33</v>
      </c>
      <c r="E72" s="12" t="s">
        <v>17</v>
      </c>
      <c r="F72" s="1" t="s">
        <v>14</v>
      </c>
      <c r="G72" t="s">
        <v>119</v>
      </c>
      <c r="H72" t="s">
        <v>226</v>
      </c>
    </row>
    <row r="73" spans="1:8" x14ac:dyDescent="0.35">
      <c r="A73" t="s">
        <v>117</v>
      </c>
      <c r="B73" t="s">
        <v>18</v>
      </c>
      <c r="C73" s="15" t="s">
        <v>11</v>
      </c>
      <c r="D73" t="s">
        <v>19</v>
      </c>
      <c r="E73" s="12" t="s">
        <v>13</v>
      </c>
      <c r="F73" s="1" t="s">
        <v>120</v>
      </c>
      <c r="G73" t="s">
        <v>14</v>
      </c>
    </row>
    <row r="74" spans="1:8" x14ac:dyDescent="0.35">
      <c r="A74" t="s">
        <v>123</v>
      </c>
      <c r="B74" t="s">
        <v>10</v>
      </c>
      <c r="C74" s="15" t="s">
        <v>11</v>
      </c>
      <c r="D74" t="s">
        <v>116</v>
      </c>
      <c r="E74" s="12" t="s">
        <v>13</v>
      </c>
      <c r="F74" s="1" t="s">
        <v>124</v>
      </c>
      <c r="G74" t="s">
        <v>14</v>
      </c>
    </row>
    <row r="75" spans="1:8" x14ac:dyDescent="0.35">
      <c r="A75" t="s">
        <v>123</v>
      </c>
      <c r="B75" t="s">
        <v>10</v>
      </c>
      <c r="C75" s="15" t="s">
        <v>11</v>
      </c>
      <c r="D75" t="s">
        <v>125</v>
      </c>
      <c r="E75" s="12" t="s">
        <v>17</v>
      </c>
      <c r="F75" s="1" t="s">
        <v>14</v>
      </c>
      <c r="G75" t="s">
        <v>225</v>
      </c>
      <c r="H75" t="s">
        <v>228</v>
      </c>
    </row>
    <row r="76" spans="1:8" x14ac:dyDescent="0.35">
      <c r="A76" t="s">
        <v>123</v>
      </c>
      <c r="B76" t="s">
        <v>18</v>
      </c>
      <c r="C76" s="15" t="s">
        <v>11</v>
      </c>
      <c r="D76" t="s">
        <v>19</v>
      </c>
      <c r="E76" s="12" t="s">
        <v>17</v>
      </c>
      <c r="F76" s="1" t="s">
        <v>14</v>
      </c>
      <c r="G76" t="s">
        <v>126</v>
      </c>
      <c r="H76" t="s">
        <v>226</v>
      </c>
    </row>
    <row r="77" spans="1:8" x14ac:dyDescent="0.35">
      <c r="A77" t="s">
        <v>123</v>
      </c>
      <c r="B77" t="s">
        <v>18</v>
      </c>
      <c r="C77" s="15" t="s">
        <v>11</v>
      </c>
      <c r="D77" t="s">
        <v>96</v>
      </c>
      <c r="E77" s="12" t="s">
        <v>13</v>
      </c>
      <c r="F77" s="1" t="s">
        <v>127</v>
      </c>
      <c r="G77" t="s">
        <v>14</v>
      </c>
    </row>
    <row r="78" spans="1:8" x14ac:dyDescent="0.35">
      <c r="A78" t="s">
        <v>123</v>
      </c>
      <c r="B78" t="s">
        <v>18</v>
      </c>
      <c r="C78" s="15" t="s">
        <v>11</v>
      </c>
      <c r="D78" t="s">
        <v>15</v>
      </c>
      <c r="E78" s="12" t="s">
        <v>17</v>
      </c>
      <c r="F78" s="1" t="s">
        <v>14</v>
      </c>
      <c r="G78" t="s">
        <v>102</v>
      </c>
      <c r="H78" t="s">
        <v>229</v>
      </c>
    </row>
    <row r="79" spans="1:8" x14ac:dyDescent="0.35">
      <c r="A79" t="s">
        <v>123</v>
      </c>
      <c r="B79" t="s">
        <v>18</v>
      </c>
      <c r="C79" s="15" t="s">
        <v>11</v>
      </c>
      <c r="D79" t="s">
        <v>29</v>
      </c>
      <c r="E79" s="12" t="s">
        <v>13</v>
      </c>
      <c r="F79" s="1" t="s">
        <v>128</v>
      </c>
      <c r="G79" t="s">
        <v>131</v>
      </c>
    </row>
    <row r="80" spans="1:8" x14ac:dyDescent="0.35">
      <c r="A80" t="s">
        <v>466</v>
      </c>
      <c r="B80" s="10" t="s">
        <v>18</v>
      </c>
      <c r="C80" s="15" t="s">
        <v>11</v>
      </c>
      <c r="D80" s="10" t="s">
        <v>132</v>
      </c>
      <c r="E80" s="13" t="s">
        <v>13</v>
      </c>
      <c r="F80" s="11">
        <v>1.22</v>
      </c>
      <c r="G80" s="10"/>
    </row>
    <row r="81" spans="1:8" x14ac:dyDescent="0.35">
      <c r="A81" t="s">
        <v>466</v>
      </c>
      <c r="B81" s="10" t="s">
        <v>18</v>
      </c>
      <c r="C81" s="15" t="s">
        <v>11</v>
      </c>
      <c r="D81" s="10" t="s">
        <v>133</v>
      </c>
      <c r="E81" s="13" t="s">
        <v>13</v>
      </c>
      <c r="F81" s="11">
        <v>0.81</v>
      </c>
      <c r="G81" s="10"/>
    </row>
    <row r="82" spans="1:8" x14ac:dyDescent="0.35">
      <c r="A82" t="s">
        <v>466</v>
      </c>
      <c r="B82" s="10" t="s">
        <v>18</v>
      </c>
      <c r="C82" s="15" t="s">
        <v>11</v>
      </c>
      <c r="D82" s="10" t="s">
        <v>134</v>
      </c>
      <c r="E82" s="13" t="s">
        <v>13</v>
      </c>
      <c r="F82" s="11">
        <v>0.98</v>
      </c>
      <c r="G82" s="10"/>
    </row>
    <row r="83" spans="1:8" x14ac:dyDescent="0.35">
      <c r="A83" t="s">
        <v>466</v>
      </c>
      <c r="B83" s="10" t="s">
        <v>18</v>
      </c>
      <c r="C83" s="15" t="s">
        <v>11</v>
      </c>
      <c r="D83" s="10" t="s">
        <v>135</v>
      </c>
      <c r="E83" s="13" t="s">
        <v>13</v>
      </c>
      <c r="F83" s="11">
        <v>2.33</v>
      </c>
      <c r="G83" s="10"/>
    </row>
    <row r="84" spans="1:8" x14ac:dyDescent="0.35">
      <c r="A84" t="s">
        <v>466</v>
      </c>
      <c r="B84" s="10" t="s">
        <v>10</v>
      </c>
      <c r="C84" s="15" t="s">
        <v>11</v>
      </c>
      <c r="D84" s="10" t="s">
        <v>136</v>
      </c>
      <c r="E84" s="13" t="s">
        <v>17</v>
      </c>
      <c r="F84" s="11"/>
      <c r="G84" s="10" t="s">
        <v>27</v>
      </c>
      <c r="H84" t="s">
        <v>226</v>
      </c>
    </row>
    <row r="85" spans="1:8" x14ac:dyDescent="0.35">
      <c r="A85" t="s">
        <v>466</v>
      </c>
      <c r="B85" s="10" t="s">
        <v>18</v>
      </c>
      <c r="C85" s="15" t="s">
        <v>11</v>
      </c>
      <c r="D85" s="10" t="s">
        <v>137</v>
      </c>
      <c r="E85" s="13" t="s">
        <v>13</v>
      </c>
      <c r="F85" s="11">
        <v>1.23</v>
      </c>
      <c r="G85" s="10"/>
    </row>
    <row r="86" spans="1:8" x14ac:dyDescent="0.35">
      <c r="A86" t="s">
        <v>466</v>
      </c>
      <c r="B86" s="10" t="s">
        <v>18</v>
      </c>
      <c r="C86" s="15" t="s">
        <v>11</v>
      </c>
      <c r="D86" s="10" t="s">
        <v>138</v>
      </c>
      <c r="E86" s="13" t="s">
        <v>13</v>
      </c>
      <c r="F86" s="11">
        <v>4.91</v>
      </c>
      <c r="G86" s="10"/>
    </row>
    <row r="87" spans="1:8" x14ac:dyDescent="0.35">
      <c r="A87" t="s">
        <v>466</v>
      </c>
      <c r="B87" s="10" t="s">
        <v>18</v>
      </c>
      <c r="C87" s="15" t="s">
        <v>11</v>
      </c>
      <c r="D87" s="10" t="s">
        <v>139</v>
      </c>
      <c r="E87" s="13" t="s">
        <v>17</v>
      </c>
      <c r="F87" s="11"/>
      <c r="G87" s="10" t="s">
        <v>140</v>
      </c>
      <c r="H87" t="s">
        <v>228</v>
      </c>
    </row>
    <row r="88" spans="1:8" x14ac:dyDescent="0.35">
      <c r="A88" t="s">
        <v>466</v>
      </c>
      <c r="B88" s="10" t="s">
        <v>18</v>
      </c>
      <c r="C88" s="15" t="s">
        <v>11</v>
      </c>
      <c r="D88" s="10" t="s">
        <v>141</v>
      </c>
      <c r="E88" s="13" t="s">
        <v>13</v>
      </c>
      <c r="F88" s="11">
        <v>0.02</v>
      </c>
      <c r="G88" s="10"/>
    </row>
    <row r="89" spans="1:8" x14ac:dyDescent="0.35">
      <c r="A89" t="s">
        <v>466</v>
      </c>
      <c r="B89" s="10" t="s">
        <v>10</v>
      </c>
      <c r="C89" s="15" t="s">
        <v>11</v>
      </c>
      <c r="D89" s="10" t="s">
        <v>141</v>
      </c>
      <c r="E89" s="13" t="s">
        <v>13</v>
      </c>
      <c r="F89" s="11">
        <v>0.77</v>
      </c>
      <c r="G89" s="10"/>
    </row>
    <row r="90" spans="1:8" x14ac:dyDescent="0.35">
      <c r="A90" t="s">
        <v>142</v>
      </c>
      <c r="B90" t="s">
        <v>10</v>
      </c>
      <c r="C90" s="15" t="s">
        <v>11</v>
      </c>
      <c r="D90" t="s">
        <v>33</v>
      </c>
      <c r="E90" s="12" t="s">
        <v>13</v>
      </c>
      <c r="F90" s="1" t="s">
        <v>143</v>
      </c>
      <c r="G90" t="s">
        <v>14</v>
      </c>
    </row>
    <row r="91" spans="1:8" x14ac:dyDescent="0.35">
      <c r="A91" t="s">
        <v>142</v>
      </c>
      <c r="B91" t="s">
        <v>10</v>
      </c>
      <c r="C91" s="15" t="s">
        <v>11</v>
      </c>
      <c r="D91" t="s">
        <v>12</v>
      </c>
      <c r="E91" s="12" t="s">
        <v>13</v>
      </c>
      <c r="F91" s="1" t="s">
        <v>144</v>
      </c>
      <c r="G91" t="s">
        <v>14</v>
      </c>
    </row>
    <row r="92" spans="1:8" x14ac:dyDescent="0.35">
      <c r="A92" t="s">
        <v>142</v>
      </c>
      <c r="B92" t="s">
        <v>10</v>
      </c>
      <c r="C92" s="15" t="s">
        <v>11</v>
      </c>
      <c r="D92" t="s">
        <v>37</v>
      </c>
      <c r="E92" s="12" t="s">
        <v>13</v>
      </c>
      <c r="F92" s="1" t="s">
        <v>145</v>
      </c>
      <c r="G92" t="s">
        <v>146</v>
      </c>
    </row>
    <row r="93" spans="1:8" x14ac:dyDescent="0.35">
      <c r="A93" t="s">
        <v>142</v>
      </c>
      <c r="B93" t="s">
        <v>10</v>
      </c>
      <c r="C93" s="15" t="s">
        <v>11</v>
      </c>
      <c r="D93" t="s">
        <v>34</v>
      </c>
      <c r="E93" s="12" t="s">
        <v>13</v>
      </c>
      <c r="F93" s="1" t="s">
        <v>147</v>
      </c>
      <c r="G93" t="s">
        <v>148</v>
      </c>
    </row>
    <row r="94" spans="1:8" x14ac:dyDescent="0.35">
      <c r="A94" t="s">
        <v>142</v>
      </c>
      <c r="B94" t="s">
        <v>18</v>
      </c>
      <c r="C94" s="15" t="s">
        <v>11</v>
      </c>
      <c r="D94" t="s">
        <v>149</v>
      </c>
      <c r="E94" s="12" t="s">
        <v>13</v>
      </c>
      <c r="F94" s="1" t="s">
        <v>150</v>
      </c>
      <c r="G94" t="s">
        <v>14</v>
      </c>
    </row>
    <row r="95" spans="1:8" x14ac:dyDescent="0.35">
      <c r="A95" t="s">
        <v>142</v>
      </c>
      <c r="B95" t="s">
        <v>18</v>
      </c>
      <c r="C95" s="15" t="s">
        <v>11</v>
      </c>
      <c r="D95" t="s">
        <v>28</v>
      </c>
      <c r="E95" s="12" t="s">
        <v>13</v>
      </c>
      <c r="F95" s="1" t="s">
        <v>151</v>
      </c>
      <c r="G95" t="s">
        <v>14</v>
      </c>
    </row>
    <row r="96" spans="1:8" x14ac:dyDescent="0.35">
      <c r="A96" t="s">
        <v>142</v>
      </c>
      <c r="B96" t="s">
        <v>18</v>
      </c>
      <c r="C96" s="15" t="s">
        <v>11</v>
      </c>
      <c r="D96" t="s">
        <v>96</v>
      </c>
      <c r="E96" s="12" t="s">
        <v>13</v>
      </c>
      <c r="F96" s="1" t="s">
        <v>152</v>
      </c>
      <c r="G96" t="s">
        <v>14</v>
      </c>
    </row>
    <row r="97" spans="1:8" x14ac:dyDescent="0.35">
      <c r="A97" t="s">
        <v>142</v>
      </c>
      <c r="B97" t="s">
        <v>18</v>
      </c>
      <c r="C97" s="15" t="s">
        <v>11</v>
      </c>
      <c r="D97" t="s">
        <v>29</v>
      </c>
      <c r="E97" s="12" t="s">
        <v>13</v>
      </c>
      <c r="F97" s="1" t="s">
        <v>153</v>
      </c>
      <c r="G97" t="s">
        <v>154</v>
      </c>
    </row>
    <row r="98" spans="1:8" x14ac:dyDescent="0.35">
      <c r="A98" t="s">
        <v>142</v>
      </c>
      <c r="B98" t="s">
        <v>18</v>
      </c>
      <c r="C98" s="15" t="s">
        <v>11</v>
      </c>
      <c r="D98" t="s">
        <v>15</v>
      </c>
      <c r="E98" s="12" t="s">
        <v>13</v>
      </c>
      <c r="F98" s="1" t="s">
        <v>155</v>
      </c>
      <c r="G98" t="s">
        <v>156</v>
      </c>
    </row>
    <row r="99" spans="1:8" x14ac:dyDescent="0.35">
      <c r="A99" t="s">
        <v>142</v>
      </c>
      <c r="B99" t="s">
        <v>18</v>
      </c>
      <c r="C99" s="15" t="s">
        <v>11</v>
      </c>
      <c r="D99" t="s">
        <v>40</v>
      </c>
      <c r="E99" s="12" t="s">
        <v>17</v>
      </c>
      <c r="F99" s="1" t="s">
        <v>14</v>
      </c>
      <c r="G99" t="s">
        <v>157</v>
      </c>
      <c r="H99" t="s">
        <v>226</v>
      </c>
    </row>
    <row r="100" spans="1:8" x14ac:dyDescent="0.35">
      <c r="A100" t="s">
        <v>160</v>
      </c>
      <c r="B100" t="s">
        <v>10</v>
      </c>
      <c r="C100" s="15" t="s">
        <v>11</v>
      </c>
      <c r="D100" t="s">
        <v>36</v>
      </c>
      <c r="E100" s="12" t="s">
        <v>17</v>
      </c>
      <c r="F100" s="1" t="s">
        <v>14</v>
      </c>
      <c r="G100" t="s">
        <v>161</v>
      </c>
      <c r="H100" t="s">
        <v>226</v>
      </c>
    </row>
    <row r="101" spans="1:8" x14ac:dyDescent="0.35">
      <c r="A101" t="s">
        <v>160</v>
      </c>
      <c r="B101" t="s">
        <v>10</v>
      </c>
      <c r="C101" s="15" t="s">
        <v>11</v>
      </c>
      <c r="D101" t="s">
        <v>33</v>
      </c>
      <c r="E101" s="12" t="s">
        <v>13</v>
      </c>
      <c r="F101" s="1" t="s">
        <v>162</v>
      </c>
      <c r="G101" t="s">
        <v>14</v>
      </c>
    </row>
    <row r="102" spans="1:8" x14ac:dyDescent="0.35">
      <c r="A102" t="s">
        <v>160</v>
      </c>
      <c r="B102" t="s">
        <v>10</v>
      </c>
      <c r="C102" s="15" t="s">
        <v>11</v>
      </c>
      <c r="D102" t="s">
        <v>114</v>
      </c>
      <c r="E102" s="12" t="s">
        <v>17</v>
      </c>
      <c r="F102" s="1" t="s">
        <v>14</v>
      </c>
      <c r="G102" t="s">
        <v>163</v>
      </c>
      <c r="H102" t="s">
        <v>227</v>
      </c>
    </row>
    <row r="103" spans="1:8" x14ac:dyDescent="0.35">
      <c r="A103" t="s">
        <v>160</v>
      </c>
      <c r="B103" t="s">
        <v>10</v>
      </c>
      <c r="C103" s="15" t="s">
        <v>11</v>
      </c>
      <c r="D103" t="s">
        <v>12</v>
      </c>
      <c r="E103" s="12" t="s">
        <v>13</v>
      </c>
      <c r="F103" s="1" t="s">
        <v>164</v>
      </c>
      <c r="G103" t="s">
        <v>14</v>
      </c>
    </row>
    <row r="104" spans="1:8" x14ac:dyDescent="0.35">
      <c r="A104" t="s">
        <v>160</v>
      </c>
      <c r="B104" t="s">
        <v>10</v>
      </c>
      <c r="C104" s="15" t="s">
        <v>11</v>
      </c>
      <c r="D104" t="s">
        <v>116</v>
      </c>
      <c r="E104" s="12" t="s">
        <v>13</v>
      </c>
      <c r="F104" s="1" t="s">
        <v>165</v>
      </c>
      <c r="G104" t="s">
        <v>14</v>
      </c>
    </row>
    <row r="105" spans="1:8" x14ac:dyDescent="0.35">
      <c r="A105" t="s">
        <v>160</v>
      </c>
      <c r="B105" t="s">
        <v>10</v>
      </c>
      <c r="C105" s="15" t="s">
        <v>11</v>
      </c>
      <c r="D105" t="s">
        <v>15</v>
      </c>
      <c r="E105" s="12" t="s">
        <v>17</v>
      </c>
      <c r="F105" s="1" t="s">
        <v>14</v>
      </c>
      <c r="G105" t="s">
        <v>163</v>
      </c>
      <c r="H105" t="s">
        <v>227</v>
      </c>
    </row>
    <row r="106" spans="1:8" x14ac:dyDescent="0.35">
      <c r="A106" t="s">
        <v>160</v>
      </c>
      <c r="B106" t="s">
        <v>10</v>
      </c>
      <c r="C106" s="15" t="s">
        <v>11</v>
      </c>
      <c r="D106" t="s">
        <v>34</v>
      </c>
      <c r="E106" s="12" t="s">
        <v>17</v>
      </c>
      <c r="F106" s="1" t="s">
        <v>14</v>
      </c>
      <c r="G106" t="s">
        <v>163</v>
      </c>
      <c r="H106" t="s">
        <v>227</v>
      </c>
    </row>
    <row r="107" spans="1:8" x14ac:dyDescent="0.35">
      <c r="A107" t="s">
        <v>160</v>
      </c>
      <c r="B107" t="s">
        <v>10</v>
      </c>
      <c r="C107" s="15" t="s">
        <v>11</v>
      </c>
      <c r="D107" t="s">
        <v>114</v>
      </c>
      <c r="E107" s="12" t="s">
        <v>17</v>
      </c>
      <c r="F107" s="1" t="s">
        <v>14</v>
      </c>
      <c r="G107" t="s">
        <v>166</v>
      </c>
      <c r="H107" t="s">
        <v>231</v>
      </c>
    </row>
    <row r="108" spans="1:8" x14ac:dyDescent="0.35">
      <c r="A108" t="s">
        <v>160</v>
      </c>
      <c r="B108" t="s">
        <v>18</v>
      </c>
      <c r="C108" s="15" t="s">
        <v>11</v>
      </c>
      <c r="D108" t="s">
        <v>132</v>
      </c>
      <c r="E108" s="12" t="s">
        <v>13</v>
      </c>
      <c r="F108" s="1" t="s">
        <v>167</v>
      </c>
      <c r="G108" t="s">
        <v>14</v>
      </c>
    </row>
    <row r="109" spans="1:8" x14ac:dyDescent="0.35">
      <c r="A109" t="s">
        <v>160</v>
      </c>
      <c r="B109" t="s">
        <v>18</v>
      </c>
      <c r="C109" s="15" t="s">
        <v>11</v>
      </c>
      <c r="D109" t="s">
        <v>28</v>
      </c>
      <c r="E109" s="12" t="s">
        <v>13</v>
      </c>
      <c r="F109" s="1" t="s">
        <v>168</v>
      </c>
      <c r="G109" t="s">
        <v>14</v>
      </c>
    </row>
    <row r="110" spans="1:8" x14ac:dyDescent="0.35">
      <c r="A110" t="s">
        <v>160</v>
      </c>
      <c r="B110" t="s">
        <v>18</v>
      </c>
      <c r="C110" s="15" t="s">
        <v>11</v>
      </c>
      <c r="D110" t="s">
        <v>96</v>
      </c>
      <c r="E110" s="12" t="s">
        <v>13</v>
      </c>
      <c r="F110" s="1">
        <v>7</v>
      </c>
    </row>
    <row r="111" spans="1:8" x14ac:dyDescent="0.35">
      <c r="A111" t="s">
        <v>160</v>
      </c>
      <c r="B111" t="s">
        <v>18</v>
      </c>
      <c r="C111" s="15" t="s">
        <v>11</v>
      </c>
      <c r="D111" t="s">
        <v>103</v>
      </c>
      <c r="E111" s="12" t="s">
        <v>13</v>
      </c>
      <c r="F111" s="1" t="s">
        <v>169</v>
      </c>
      <c r="G111" t="s">
        <v>14</v>
      </c>
    </row>
    <row r="112" spans="1:8" x14ac:dyDescent="0.35">
      <c r="A112" t="s">
        <v>160</v>
      </c>
      <c r="B112" t="s">
        <v>18</v>
      </c>
      <c r="C112" s="15" t="s">
        <v>11</v>
      </c>
      <c r="D112" t="s">
        <v>29</v>
      </c>
      <c r="E112" s="12" t="s">
        <v>13</v>
      </c>
      <c r="F112" s="1" t="s">
        <v>170</v>
      </c>
      <c r="G112" t="s">
        <v>171</v>
      </c>
    </row>
    <row r="113" spans="1:8" x14ac:dyDescent="0.35">
      <c r="A113" t="s">
        <v>160</v>
      </c>
      <c r="B113" s="10" t="s">
        <v>18</v>
      </c>
      <c r="C113" s="15" t="s">
        <v>11</v>
      </c>
      <c r="D113" s="10" t="s">
        <v>174</v>
      </c>
      <c r="E113" s="13" t="s">
        <v>13</v>
      </c>
      <c r="F113" s="11">
        <v>4.24</v>
      </c>
    </row>
    <row r="114" spans="1:8" x14ac:dyDescent="0.35">
      <c r="A114" t="s">
        <v>160</v>
      </c>
      <c r="B114" s="10" t="s">
        <v>18</v>
      </c>
      <c r="C114" s="15" t="s">
        <v>11</v>
      </c>
      <c r="D114" s="10" t="s">
        <v>138</v>
      </c>
      <c r="E114" s="13" t="s">
        <v>13</v>
      </c>
      <c r="F114" s="11">
        <v>3.47</v>
      </c>
    </row>
    <row r="115" spans="1:8" x14ac:dyDescent="0.35">
      <c r="A115" s="9">
        <v>46259</v>
      </c>
      <c r="B115" s="10" t="s">
        <v>18</v>
      </c>
      <c r="C115" s="15" t="s">
        <v>11</v>
      </c>
      <c r="D115" s="10" t="s">
        <v>175</v>
      </c>
      <c r="E115" s="13" t="s">
        <v>13</v>
      </c>
      <c r="F115" s="11">
        <v>0.02</v>
      </c>
    </row>
    <row r="116" spans="1:8" x14ac:dyDescent="0.35">
      <c r="A116" s="9">
        <v>46259</v>
      </c>
      <c r="B116" s="10" t="s">
        <v>18</v>
      </c>
      <c r="C116" s="15" t="s">
        <v>11</v>
      </c>
      <c r="D116" s="10" t="s">
        <v>175</v>
      </c>
      <c r="E116" s="13" t="s">
        <v>13</v>
      </c>
      <c r="F116" s="11">
        <v>1.77</v>
      </c>
    </row>
    <row r="117" spans="1:8" x14ac:dyDescent="0.35">
      <c r="A117" s="9">
        <v>46259</v>
      </c>
      <c r="B117" s="10" t="s">
        <v>18</v>
      </c>
      <c r="C117" s="15" t="s">
        <v>11</v>
      </c>
      <c r="D117" s="10" t="s">
        <v>176</v>
      </c>
      <c r="E117" s="13" t="s">
        <v>13</v>
      </c>
      <c r="F117" s="11">
        <v>1.67</v>
      </c>
    </row>
    <row r="118" spans="1:8" x14ac:dyDescent="0.35">
      <c r="A118" s="9">
        <v>46259</v>
      </c>
      <c r="B118" s="10" t="s">
        <v>18</v>
      </c>
      <c r="C118" s="15" t="s">
        <v>11</v>
      </c>
      <c r="D118" s="10" t="s">
        <v>177</v>
      </c>
      <c r="E118" s="13" t="s">
        <v>13</v>
      </c>
      <c r="F118" s="11">
        <v>1.19</v>
      </c>
    </row>
    <row r="119" spans="1:8" x14ac:dyDescent="0.35">
      <c r="A119" s="9">
        <v>46259</v>
      </c>
      <c r="B119" s="10" t="s">
        <v>18</v>
      </c>
      <c r="C119" s="15" t="s">
        <v>11</v>
      </c>
      <c r="D119" s="10" t="s">
        <v>178</v>
      </c>
      <c r="E119" s="13" t="s">
        <v>13</v>
      </c>
      <c r="F119" s="11">
        <v>1.53</v>
      </c>
    </row>
    <row r="120" spans="1:8" x14ac:dyDescent="0.35">
      <c r="A120" s="9">
        <v>46259</v>
      </c>
      <c r="B120" s="10" t="s">
        <v>18</v>
      </c>
      <c r="C120" s="15" t="s">
        <v>11</v>
      </c>
      <c r="D120" s="10" t="s">
        <v>179</v>
      </c>
      <c r="E120" s="13" t="s">
        <v>13</v>
      </c>
      <c r="F120" s="11">
        <v>5.0599999999999996</v>
      </c>
    </row>
    <row r="121" spans="1:8" x14ac:dyDescent="0.35">
      <c r="A121" t="s">
        <v>180</v>
      </c>
      <c r="B121" t="s">
        <v>10</v>
      </c>
      <c r="C121" s="15" t="s">
        <v>11</v>
      </c>
      <c r="D121" t="s">
        <v>181</v>
      </c>
      <c r="E121" s="12" t="s">
        <v>17</v>
      </c>
      <c r="F121" s="1" t="s">
        <v>14</v>
      </c>
      <c r="G121" t="s">
        <v>182</v>
      </c>
      <c r="H121" t="s">
        <v>227</v>
      </c>
    </row>
    <row r="122" spans="1:8" x14ac:dyDescent="0.35">
      <c r="A122" t="s">
        <v>180</v>
      </c>
      <c r="B122" t="s">
        <v>10</v>
      </c>
      <c r="C122" s="15" t="s">
        <v>11</v>
      </c>
      <c r="D122" t="s">
        <v>183</v>
      </c>
      <c r="E122" s="12" t="s">
        <v>17</v>
      </c>
      <c r="G122" t="s">
        <v>184</v>
      </c>
      <c r="H122" t="s">
        <v>226</v>
      </c>
    </row>
    <row r="123" spans="1:8" x14ac:dyDescent="0.35">
      <c r="A123" t="s">
        <v>180</v>
      </c>
      <c r="B123" t="s">
        <v>10</v>
      </c>
      <c r="C123" s="15" t="s">
        <v>11</v>
      </c>
      <c r="D123" t="s">
        <v>23</v>
      </c>
      <c r="E123" s="12" t="s">
        <v>13</v>
      </c>
      <c r="F123" s="1" t="s">
        <v>185</v>
      </c>
      <c r="G123" t="s">
        <v>14</v>
      </c>
    </row>
    <row r="124" spans="1:8" x14ac:dyDescent="0.35">
      <c r="A124" t="s">
        <v>180</v>
      </c>
      <c r="B124" t="s">
        <v>10</v>
      </c>
      <c r="C124" s="15" t="s">
        <v>11</v>
      </c>
      <c r="D124" t="s">
        <v>29</v>
      </c>
      <c r="E124" s="12" t="s">
        <v>13</v>
      </c>
      <c r="F124" s="1" t="s">
        <v>186</v>
      </c>
      <c r="G124" t="s">
        <v>14</v>
      </c>
    </row>
    <row r="125" spans="1:8" x14ac:dyDescent="0.35">
      <c r="A125" t="s">
        <v>180</v>
      </c>
      <c r="B125" t="s">
        <v>10</v>
      </c>
      <c r="C125" s="15" t="s">
        <v>11</v>
      </c>
      <c r="D125" t="s">
        <v>19</v>
      </c>
      <c r="E125" s="12" t="s">
        <v>13</v>
      </c>
      <c r="F125" s="1" t="s">
        <v>187</v>
      </c>
      <c r="G125" t="s">
        <v>14</v>
      </c>
    </row>
    <row r="126" spans="1:8" x14ac:dyDescent="0.35">
      <c r="A126" t="s">
        <v>180</v>
      </c>
      <c r="B126" t="s">
        <v>18</v>
      </c>
      <c r="C126" s="15" t="s">
        <v>11</v>
      </c>
      <c r="D126" t="s">
        <v>40</v>
      </c>
      <c r="E126" s="12" t="s">
        <v>17</v>
      </c>
      <c r="F126" s="1" t="s">
        <v>14</v>
      </c>
      <c r="G126" t="s">
        <v>163</v>
      </c>
      <c r="H126" t="s">
        <v>227</v>
      </c>
    </row>
    <row r="127" spans="1:8" x14ac:dyDescent="0.35">
      <c r="A127" t="s">
        <v>180</v>
      </c>
      <c r="B127" t="s">
        <v>18</v>
      </c>
      <c r="C127" s="15" t="s">
        <v>11</v>
      </c>
      <c r="D127" t="s">
        <v>96</v>
      </c>
      <c r="E127" s="12" t="s">
        <v>17</v>
      </c>
      <c r="F127" s="1" t="s">
        <v>14</v>
      </c>
      <c r="G127" t="s">
        <v>188</v>
      </c>
      <c r="H127" t="s">
        <v>229</v>
      </c>
    </row>
    <row r="128" spans="1:8" x14ac:dyDescent="0.35">
      <c r="A128" t="s">
        <v>180</v>
      </c>
      <c r="B128" t="s">
        <v>18</v>
      </c>
      <c r="C128" s="15" t="s">
        <v>11</v>
      </c>
      <c r="D128" t="s">
        <v>28</v>
      </c>
      <c r="E128" s="12" t="s">
        <v>17</v>
      </c>
      <c r="F128" s="1" t="s">
        <v>14</v>
      </c>
      <c r="G128" t="s">
        <v>188</v>
      </c>
      <c r="H128" t="s">
        <v>229</v>
      </c>
    </row>
    <row r="129" spans="1:8" x14ac:dyDescent="0.35">
      <c r="A129" t="s">
        <v>180</v>
      </c>
      <c r="B129" t="s">
        <v>10</v>
      </c>
      <c r="C129" s="15" t="s">
        <v>11</v>
      </c>
      <c r="D129" t="s">
        <v>191</v>
      </c>
      <c r="E129" s="12" t="s">
        <v>13</v>
      </c>
      <c r="F129" s="1">
        <v>3.03</v>
      </c>
    </row>
    <row r="130" spans="1:8" x14ac:dyDescent="0.35">
      <c r="A130" t="s">
        <v>180</v>
      </c>
      <c r="B130" t="s">
        <v>10</v>
      </c>
      <c r="C130" s="15" t="s">
        <v>11</v>
      </c>
      <c r="D130" t="s">
        <v>192</v>
      </c>
      <c r="E130" s="12" t="s">
        <v>13</v>
      </c>
      <c r="F130" s="1">
        <v>3.85</v>
      </c>
    </row>
    <row r="131" spans="1:8" x14ac:dyDescent="0.35">
      <c r="A131" t="s">
        <v>180</v>
      </c>
      <c r="B131" t="s">
        <v>10</v>
      </c>
      <c r="C131" s="15" t="s">
        <v>11</v>
      </c>
      <c r="D131" t="s">
        <v>193</v>
      </c>
      <c r="E131" s="12" t="s">
        <v>13</v>
      </c>
      <c r="F131" s="1">
        <v>2.23</v>
      </c>
      <c r="G131" t="s">
        <v>194</v>
      </c>
    </row>
    <row r="132" spans="1:8" x14ac:dyDescent="0.35">
      <c r="A132" t="s">
        <v>180</v>
      </c>
      <c r="B132" s="10" t="s">
        <v>18</v>
      </c>
      <c r="C132" s="15" t="s">
        <v>11</v>
      </c>
      <c r="D132" s="10" t="s">
        <v>195</v>
      </c>
      <c r="E132" s="13" t="s">
        <v>13</v>
      </c>
      <c r="F132" s="11">
        <v>1.1299999999999999</v>
      </c>
      <c r="G132" s="10"/>
    </row>
    <row r="133" spans="1:8" x14ac:dyDescent="0.35">
      <c r="A133" t="s">
        <v>180</v>
      </c>
      <c r="B133" s="10" t="s">
        <v>18</v>
      </c>
      <c r="C133" s="15" t="s">
        <v>11</v>
      </c>
      <c r="D133" s="10" t="s">
        <v>138</v>
      </c>
      <c r="E133" s="13" t="s">
        <v>17</v>
      </c>
      <c r="F133" s="11"/>
      <c r="G133" s="10" t="s">
        <v>196</v>
      </c>
      <c r="H133" t="s">
        <v>226</v>
      </c>
    </row>
    <row r="134" spans="1:8" x14ac:dyDescent="0.35">
      <c r="A134" t="s">
        <v>180</v>
      </c>
      <c r="B134" s="10" t="s">
        <v>18</v>
      </c>
      <c r="C134" s="15" t="s">
        <v>11</v>
      </c>
      <c r="D134" s="10" t="s">
        <v>197</v>
      </c>
      <c r="E134" s="13" t="s">
        <v>17</v>
      </c>
      <c r="F134" s="11"/>
      <c r="G134" s="10" t="s">
        <v>198</v>
      </c>
      <c r="H134" t="s">
        <v>226</v>
      </c>
    </row>
    <row r="135" spans="1:8" x14ac:dyDescent="0.35">
      <c r="A135" t="s">
        <v>180</v>
      </c>
      <c r="B135" s="10" t="s">
        <v>18</v>
      </c>
      <c r="C135" s="15" t="s">
        <v>11</v>
      </c>
      <c r="D135" s="10" t="s">
        <v>178</v>
      </c>
      <c r="E135" s="13" t="s">
        <v>17</v>
      </c>
      <c r="F135" s="11"/>
      <c r="G135" s="10" t="s">
        <v>199</v>
      </c>
      <c r="H135" t="s">
        <v>229</v>
      </c>
    </row>
    <row r="136" spans="1:8" x14ac:dyDescent="0.35">
      <c r="A136" t="s">
        <v>180</v>
      </c>
      <c r="B136" s="10" t="s">
        <v>18</v>
      </c>
      <c r="C136" s="15" t="s">
        <v>11</v>
      </c>
      <c r="D136" s="10" t="s">
        <v>139</v>
      </c>
      <c r="E136" s="13" t="s">
        <v>17</v>
      </c>
      <c r="F136" s="11"/>
      <c r="G136" s="10" t="s">
        <v>200</v>
      </c>
      <c r="H136" t="s">
        <v>227</v>
      </c>
    </row>
    <row r="137" spans="1:8" x14ac:dyDescent="0.35">
      <c r="A137" t="s">
        <v>180</v>
      </c>
      <c r="B137" s="10" t="s">
        <v>18</v>
      </c>
      <c r="C137" s="15" t="s">
        <v>11</v>
      </c>
      <c r="D137" s="10" t="s">
        <v>174</v>
      </c>
      <c r="E137" s="13" t="s">
        <v>13</v>
      </c>
      <c r="F137" s="11">
        <v>2.2000000000000002</v>
      </c>
      <c r="G137" s="10"/>
    </row>
    <row r="138" spans="1:8" x14ac:dyDescent="0.35">
      <c r="A138" t="s">
        <v>180</v>
      </c>
      <c r="B138" s="10" t="s">
        <v>18</v>
      </c>
      <c r="C138" s="15" t="s">
        <v>11</v>
      </c>
      <c r="D138" s="10" t="s">
        <v>201</v>
      </c>
      <c r="E138" s="13" t="s">
        <v>13</v>
      </c>
      <c r="F138" s="11">
        <v>4.67</v>
      </c>
      <c r="G138" s="10"/>
    </row>
    <row r="139" spans="1:8" x14ac:dyDescent="0.35">
      <c r="A139" t="s">
        <v>463</v>
      </c>
      <c r="B139" s="10" t="s">
        <v>10</v>
      </c>
      <c r="C139" s="15" t="s">
        <v>346</v>
      </c>
      <c r="D139" s="10" t="s">
        <v>191</v>
      </c>
      <c r="E139" s="13" t="s">
        <v>13</v>
      </c>
      <c r="F139" s="11">
        <v>2.39</v>
      </c>
      <c r="G139" s="10"/>
    </row>
    <row r="140" spans="1:8" ht="15.65" customHeight="1" x14ac:dyDescent="0.35">
      <c r="A140" t="s">
        <v>463</v>
      </c>
      <c r="B140" s="10" t="s">
        <v>10</v>
      </c>
      <c r="C140" s="15" t="s">
        <v>346</v>
      </c>
      <c r="D140" s="10" t="s">
        <v>202</v>
      </c>
      <c r="E140" s="13" t="s">
        <v>17</v>
      </c>
      <c r="F140" s="11"/>
      <c r="G140" s="10" t="s">
        <v>27</v>
      </c>
      <c r="H140" t="s">
        <v>226</v>
      </c>
    </row>
    <row r="141" spans="1:8" ht="15.65" customHeight="1" x14ac:dyDescent="0.35">
      <c r="A141" t="s">
        <v>463</v>
      </c>
      <c r="B141" s="10" t="s">
        <v>18</v>
      </c>
      <c r="C141" s="15" t="s">
        <v>346</v>
      </c>
      <c r="D141" s="10" t="s">
        <v>134</v>
      </c>
      <c r="E141" s="13" t="s">
        <v>17</v>
      </c>
      <c r="F141" s="11"/>
      <c r="G141" s="10" t="s">
        <v>100</v>
      </c>
      <c r="H141" t="s">
        <v>226</v>
      </c>
    </row>
    <row r="142" spans="1:8" x14ac:dyDescent="0.35">
      <c r="A142" t="s">
        <v>463</v>
      </c>
      <c r="B142" s="10" t="s">
        <v>18</v>
      </c>
      <c r="C142" s="15" t="s">
        <v>343</v>
      </c>
      <c r="D142" s="10" t="s">
        <v>203</v>
      </c>
      <c r="E142" s="13" t="s">
        <v>13</v>
      </c>
      <c r="F142" s="11">
        <v>1.52</v>
      </c>
      <c r="G142" s="10"/>
    </row>
    <row r="143" spans="1:8" x14ac:dyDescent="0.35">
      <c r="A143" t="s">
        <v>463</v>
      </c>
      <c r="B143" s="10" t="s">
        <v>18</v>
      </c>
      <c r="C143" s="15" t="s">
        <v>343</v>
      </c>
      <c r="D143" s="10" t="s">
        <v>204</v>
      </c>
      <c r="E143" s="13" t="s">
        <v>13</v>
      </c>
      <c r="F143" s="11">
        <v>4.83</v>
      </c>
      <c r="G143" s="10"/>
    </row>
    <row r="144" spans="1:8" x14ac:dyDescent="0.35">
      <c r="A144" t="s">
        <v>463</v>
      </c>
      <c r="B144" s="10" t="s">
        <v>18</v>
      </c>
      <c r="C144" s="15" t="s">
        <v>343</v>
      </c>
      <c r="D144" s="10" t="s">
        <v>205</v>
      </c>
      <c r="E144" s="13" t="s">
        <v>17</v>
      </c>
      <c r="F144" s="11"/>
      <c r="G144" s="10" t="s">
        <v>206</v>
      </c>
      <c r="H144" t="s">
        <v>228</v>
      </c>
    </row>
    <row r="145" spans="1:8" x14ac:dyDescent="0.35">
      <c r="A145" t="s">
        <v>463</v>
      </c>
      <c r="B145" s="10" t="s">
        <v>18</v>
      </c>
      <c r="C145" s="15" t="s">
        <v>343</v>
      </c>
      <c r="D145" s="10" t="s">
        <v>133</v>
      </c>
      <c r="E145" s="13" t="s">
        <v>17</v>
      </c>
      <c r="F145" s="11"/>
      <c r="G145" s="10" t="s">
        <v>207</v>
      </c>
      <c r="H145" t="s">
        <v>230</v>
      </c>
    </row>
    <row r="146" spans="1:8" x14ac:dyDescent="0.35">
      <c r="A146" t="s">
        <v>463</v>
      </c>
      <c r="B146" s="10" t="s">
        <v>10</v>
      </c>
      <c r="C146" s="15" t="s">
        <v>343</v>
      </c>
      <c r="D146" s="10" t="s">
        <v>208</v>
      </c>
      <c r="E146" s="13" t="s">
        <v>17</v>
      </c>
      <c r="F146" s="11"/>
      <c r="G146" s="10" t="s">
        <v>209</v>
      </c>
      <c r="H146" t="s">
        <v>226</v>
      </c>
    </row>
    <row r="147" spans="1:8" ht="31" x14ac:dyDescent="0.35">
      <c r="A147" t="s">
        <v>463</v>
      </c>
      <c r="B147" s="10" t="s">
        <v>10</v>
      </c>
      <c r="C147" s="15" t="s">
        <v>343</v>
      </c>
      <c r="D147" s="10" t="s">
        <v>210</v>
      </c>
      <c r="E147" s="13" t="s">
        <v>13</v>
      </c>
      <c r="F147" s="11">
        <v>1.41</v>
      </c>
      <c r="G147" s="10" t="s">
        <v>211</v>
      </c>
    </row>
    <row r="148" spans="1:8" x14ac:dyDescent="0.35">
      <c r="A148" t="s">
        <v>463</v>
      </c>
      <c r="B148" s="10" t="s">
        <v>10</v>
      </c>
      <c r="C148" s="15" t="s">
        <v>343</v>
      </c>
      <c r="D148" s="10" t="s">
        <v>212</v>
      </c>
      <c r="E148" s="13" t="s">
        <v>13</v>
      </c>
      <c r="F148" s="11">
        <v>3.85</v>
      </c>
      <c r="G148" s="10"/>
    </row>
    <row r="149" spans="1:8" ht="46.5" x14ac:dyDescent="0.35">
      <c r="A149" t="s">
        <v>463</v>
      </c>
      <c r="B149" s="10" t="s">
        <v>18</v>
      </c>
      <c r="C149" s="15" t="s">
        <v>343</v>
      </c>
      <c r="D149" s="10" t="s">
        <v>213</v>
      </c>
      <c r="E149" s="13" t="s">
        <v>17</v>
      </c>
      <c r="F149" s="11"/>
      <c r="G149" s="10" t="s">
        <v>214</v>
      </c>
      <c r="H149" t="s">
        <v>227</v>
      </c>
    </row>
    <row r="150" spans="1:8" x14ac:dyDescent="0.35">
      <c r="A150" t="s">
        <v>464</v>
      </c>
      <c r="B150" s="10" t="s">
        <v>18</v>
      </c>
      <c r="C150" s="15" t="s">
        <v>343</v>
      </c>
      <c r="D150" s="10" t="s">
        <v>213</v>
      </c>
      <c r="E150" s="13" t="s">
        <v>13</v>
      </c>
      <c r="F150" s="10">
        <v>3.59</v>
      </c>
      <c r="G150" s="10"/>
    </row>
    <row r="151" spans="1:8" x14ac:dyDescent="0.35">
      <c r="A151" t="s">
        <v>464</v>
      </c>
      <c r="B151" s="10" t="s">
        <v>18</v>
      </c>
      <c r="C151" s="15" t="s">
        <v>343</v>
      </c>
      <c r="D151" s="10" t="s">
        <v>213</v>
      </c>
      <c r="E151" s="13" t="s">
        <v>17</v>
      </c>
      <c r="F151" s="10"/>
      <c r="G151" s="10" t="s">
        <v>140</v>
      </c>
      <c r="H151" t="s">
        <v>228</v>
      </c>
    </row>
    <row r="152" spans="1:8" x14ac:dyDescent="0.35">
      <c r="A152" t="s">
        <v>464</v>
      </c>
      <c r="B152" s="10" t="s">
        <v>18</v>
      </c>
      <c r="C152" s="15" t="s">
        <v>343</v>
      </c>
      <c r="D152" s="10" t="s">
        <v>205</v>
      </c>
      <c r="E152" s="13" t="s">
        <v>17</v>
      </c>
      <c r="F152" s="10"/>
      <c r="G152" s="10" t="s">
        <v>216</v>
      </c>
      <c r="H152" t="s">
        <v>228</v>
      </c>
    </row>
    <row r="153" spans="1:8" x14ac:dyDescent="0.35">
      <c r="A153" t="s">
        <v>464</v>
      </c>
      <c r="B153" s="10" t="s">
        <v>18</v>
      </c>
      <c r="C153" s="15" t="s">
        <v>343</v>
      </c>
      <c r="D153" s="10" t="s">
        <v>135</v>
      </c>
      <c r="E153" s="13" t="s">
        <v>13</v>
      </c>
      <c r="F153" s="10">
        <v>1.0900000000000001</v>
      </c>
      <c r="G153" s="10"/>
    </row>
    <row r="154" spans="1:8" x14ac:dyDescent="0.35">
      <c r="A154" t="s">
        <v>464</v>
      </c>
      <c r="B154" s="10" t="s">
        <v>18</v>
      </c>
      <c r="C154" s="15" t="s">
        <v>343</v>
      </c>
      <c r="D154" s="10" t="s">
        <v>134</v>
      </c>
      <c r="E154" s="13" t="s">
        <v>13</v>
      </c>
      <c r="F154" s="10">
        <v>1.45</v>
      </c>
      <c r="G154" s="10"/>
    </row>
    <row r="155" spans="1:8" x14ac:dyDescent="0.35">
      <c r="A155" t="s">
        <v>464</v>
      </c>
      <c r="B155" s="10" t="s">
        <v>18</v>
      </c>
      <c r="C155" s="15" t="s">
        <v>343</v>
      </c>
      <c r="D155" s="10" t="s">
        <v>203</v>
      </c>
      <c r="E155" s="13" t="s">
        <v>13</v>
      </c>
      <c r="F155" s="10">
        <v>3.31</v>
      </c>
      <c r="G155" s="10"/>
    </row>
    <row r="156" spans="1:8" ht="15.75" customHeight="1" x14ac:dyDescent="0.35">
      <c r="A156" t="s">
        <v>464</v>
      </c>
      <c r="B156" s="10" t="s">
        <v>10</v>
      </c>
      <c r="C156" s="15" t="s">
        <v>343</v>
      </c>
      <c r="D156" s="10" t="s">
        <v>212</v>
      </c>
      <c r="E156" s="13" t="s">
        <v>13</v>
      </c>
      <c r="F156" s="10">
        <v>11.63</v>
      </c>
      <c r="G156" s="10" t="s">
        <v>217</v>
      </c>
    </row>
    <row r="157" spans="1:8" x14ac:dyDescent="0.35">
      <c r="A157" t="s">
        <v>464</v>
      </c>
      <c r="B157" s="10" t="s">
        <v>10</v>
      </c>
      <c r="C157" s="15" t="s">
        <v>343</v>
      </c>
      <c r="D157" s="10" t="s">
        <v>208</v>
      </c>
      <c r="E157" s="13" t="s">
        <v>13</v>
      </c>
      <c r="F157" s="10">
        <v>4.49</v>
      </c>
      <c r="G157" s="10"/>
    </row>
    <row r="158" spans="1:8" x14ac:dyDescent="0.35">
      <c r="A158" t="s">
        <v>464</v>
      </c>
      <c r="B158" s="10" t="s">
        <v>10</v>
      </c>
      <c r="C158" s="15" t="s">
        <v>343</v>
      </c>
      <c r="D158" s="10" t="s">
        <v>210</v>
      </c>
      <c r="E158" s="13" t="s">
        <v>13</v>
      </c>
      <c r="F158" s="10">
        <v>1.75</v>
      </c>
      <c r="G158" s="10"/>
    </row>
    <row r="159" spans="1:8" x14ac:dyDescent="0.35">
      <c r="A159" t="s">
        <v>465</v>
      </c>
      <c r="B159" s="10" t="s">
        <v>10</v>
      </c>
      <c r="C159" s="16" t="s">
        <v>344</v>
      </c>
      <c r="D159" s="10" t="s">
        <v>212</v>
      </c>
      <c r="E159" s="13" t="s">
        <v>17</v>
      </c>
      <c r="F159" s="10"/>
      <c r="G159" s="10" t="s">
        <v>218</v>
      </c>
      <c r="H159" t="s">
        <v>228</v>
      </c>
    </row>
    <row r="160" spans="1:8" x14ac:dyDescent="0.35">
      <c r="A160" t="s">
        <v>465</v>
      </c>
      <c r="B160" s="10" t="s">
        <v>10</v>
      </c>
      <c r="C160" s="16" t="s">
        <v>344</v>
      </c>
      <c r="D160" s="10" t="s">
        <v>219</v>
      </c>
      <c r="E160" s="13" t="s">
        <v>13</v>
      </c>
      <c r="F160" s="10">
        <v>2.02</v>
      </c>
      <c r="G160" s="10"/>
    </row>
    <row r="161" spans="1:8" x14ac:dyDescent="0.35">
      <c r="A161" t="s">
        <v>465</v>
      </c>
      <c r="B161" s="10" t="s">
        <v>10</v>
      </c>
      <c r="C161" s="16" t="s">
        <v>344</v>
      </c>
      <c r="D161" s="10" t="s">
        <v>208</v>
      </c>
      <c r="E161" s="13" t="s">
        <v>17</v>
      </c>
      <c r="F161" s="10"/>
      <c r="G161" s="10" t="s">
        <v>220</v>
      </c>
      <c r="H161" t="s">
        <v>227</v>
      </c>
    </row>
    <row r="162" spans="1:8" x14ac:dyDescent="0.35">
      <c r="A162" t="s">
        <v>465</v>
      </c>
      <c r="B162" s="10" t="s">
        <v>10</v>
      </c>
      <c r="C162" s="16" t="s">
        <v>344</v>
      </c>
      <c r="D162" s="10" t="s">
        <v>210</v>
      </c>
      <c r="E162" s="13" t="s">
        <v>17</v>
      </c>
      <c r="F162" s="10"/>
      <c r="G162" s="10" t="s">
        <v>220</v>
      </c>
      <c r="H162" t="s">
        <v>227</v>
      </c>
    </row>
    <row r="163" spans="1:8" x14ac:dyDescent="0.35">
      <c r="A163" t="s">
        <v>465</v>
      </c>
      <c r="B163" s="10" t="s">
        <v>18</v>
      </c>
      <c r="C163" s="16" t="s">
        <v>344</v>
      </c>
      <c r="D163" s="10" t="s">
        <v>134</v>
      </c>
      <c r="E163" s="13" t="s">
        <v>13</v>
      </c>
      <c r="F163" s="10">
        <v>0.7</v>
      </c>
      <c r="G163" s="10"/>
    </row>
    <row r="164" spans="1:8" x14ac:dyDescent="0.35">
      <c r="A164" t="s">
        <v>465</v>
      </c>
      <c r="B164" s="10" t="s">
        <v>18</v>
      </c>
      <c r="C164" s="16" t="s">
        <v>344</v>
      </c>
      <c r="D164" s="10" t="s">
        <v>203</v>
      </c>
      <c r="E164" s="13" t="s">
        <v>13</v>
      </c>
      <c r="F164" s="10">
        <v>1.59</v>
      </c>
      <c r="G164" s="10"/>
    </row>
    <row r="165" spans="1:8" x14ac:dyDescent="0.35">
      <c r="A165" t="s">
        <v>465</v>
      </c>
      <c r="B165" s="10" t="s">
        <v>10</v>
      </c>
      <c r="C165" s="15" t="s">
        <v>343</v>
      </c>
      <c r="D165" s="10" t="s">
        <v>212</v>
      </c>
      <c r="E165" s="13" t="s">
        <v>17</v>
      </c>
      <c r="F165" s="10"/>
      <c r="G165" s="10" t="s">
        <v>218</v>
      </c>
      <c r="H165" t="s">
        <v>228</v>
      </c>
    </row>
    <row r="166" spans="1:8" x14ac:dyDescent="0.35">
      <c r="A166" t="s">
        <v>465</v>
      </c>
      <c r="B166" s="10" t="s">
        <v>10</v>
      </c>
      <c r="C166" s="15" t="s">
        <v>343</v>
      </c>
      <c r="D166" s="10" t="s">
        <v>219</v>
      </c>
      <c r="E166" s="13" t="s">
        <v>13</v>
      </c>
      <c r="F166" s="10">
        <v>2.02</v>
      </c>
      <c r="G166" s="10"/>
    </row>
    <row r="167" spans="1:8" x14ac:dyDescent="0.35">
      <c r="A167" t="s">
        <v>465</v>
      </c>
      <c r="B167" s="10" t="s">
        <v>10</v>
      </c>
      <c r="C167" s="15" t="s">
        <v>343</v>
      </c>
      <c r="D167" s="10" t="s">
        <v>208</v>
      </c>
      <c r="E167" s="13" t="s">
        <v>17</v>
      </c>
      <c r="F167" s="10"/>
      <c r="G167" s="10" t="s">
        <v>220</v>
      </c>
      <c r="H167" t="s">
        <v>227</v>
      </c>
    </row>
    <row r="168" spans="1:8" x14ac:dyDescent="0.35">
      <c r="A168" t="s">
        <v>465</v>
      </c>
      <c r="B168" s="10" t="s">
        <v>10</v>
      </c>
      <c r="C168" s="15" t="s">
        <v>343</v>
      </c>
      <c r="D168" s="10" t="s">
        <v>210</v>
      </c>
      <c r="E168" s="13" t="s">
        <v>17</v>
      </c>
      <c r="F168" s="10"/>
      <c r="G168" s="10" t="s">
        <v>220</v>
      </c>
      <c r="H168" t="s">
        <v>227</v>
      </c>
    </row>
    <row r="169" spans="1:8" x14ac:dyDescent="0.35">
      <c r="A169" t="s">
        <v>465</v>
      </c>
      <c r="B169" s="10" t="s">
        <v>18</v>
      </c>
      <c r="C169" s="15" t="s">
        <v>343</v>
      </c>
      <c r="D169" s="10" t="s">
        <v>134</v>
      </c>
      <c r="E169" s="13" t="s">
        <v>13</v>
      </c>
      <c r="F169" s="10">
        <v>0.7</v>
      </c>
      <c r="G169" s="10"/>
    </row>
    <row r="170" spans="1:8" x14ac:dyDescent="0.35">
      <c r="A170" t="s">
        <v>465</v>
      </c>
      <c r="B170" s="10" t="s">
        <v>18</v>
      </c>
      <c r="C170" s="15" t="s">
        <v>343</v>
      </c>
      <c r="D170" s="10" t="s">
        <v>203</v>
      </c>
      <c r="E170" s="13" t="s">
        <v>13</v>
      </c>
      <c r="F170" s="10">
        <v>1.59</v>
      </c>
      <c r="G170" s="10"/>
    </row>
    <row r="171" spans="1:8" x14ac:dyDescent="0.35">
      <c r="A171" t="s">
        <v>465</v>
      </c>
      <c r="B171" s="10" t="s">
        <v>18</v>
      </c>
      <c r="C171" s="15" t="s">
        <v>343</v>
      </c>
      <c r="D171" s="10" t="s">
        <v>213</v>
      </c>
      <c r="E171" s="13" t="s">
        <v>13</v>
      </c>
      <c r="F171" s="10">
        <v>0.42</v>
      </c>
      <c r="G171" s="10"/>
    </row>
    <row r="172" spans="1:8" x14ac:dyDescent="0.35">
      <c r="A172" t="s">
        <v>465</v>
      </c>
      <c r="B172" s="10" t="s">
        <v>18</v>
      </c>
      <c r="C172" s="15" t="s">
        <v>343</v>
      </c>
      <c r="D172" s="10" t="s">
        <v>204</v>
      </c>
      <c r="E172" s="13" t="s">
        <v>13</v>
      </c>
      <c r="F172" s="10">
        <v>3.96</v>
      </c>
      <c r="G172" s="10"/>
    </row>
    <row r="173" spans="1:8" x14ac:dyDescent="0.35">
      <c r="A173" t="s">
        <v>465</v>
      </c>
      <c r="B173" s="10" t="s">
        <v>18</v>
      </c>
      <c r="C173" s="15" t="s">
        <v>343</v>
      </c>
      <c r="D173" s="10" t="s">
        <v>135</v>
      </c>
      <c r="E173" s="13" t="s">
        <v>17</v>
      </c>
      <c r="F173" s="10"/>
      <c r="G173" s="10" t="s">
        <v>218</v>
      </c>
      <c r="H173" t="s">
        <v>228</v>
      </c>
    </row>
    <row r="174" spans="1:8" x14ac:dyDescent="0.35">
      <c r="A174" t="s">
        <v>465</v>
      </c>
      <c r="B174" s="10" t="s">
        <v>10</v>
      </c>
      <c r="C174" s="15" t="s">
        <v>343</v>
      </c>
      <c r="D174" s="10" t="s">
        <v>212</v>
      </c>
      <c r="E174" s="13" t="s">
        <v>13</v>
      </c>
      <c r="F174" s="10">
        <v>6.71</v>
      </c>
      <c r="G174" s="10"/>
    </row>
    <row r="175" spans="1:8" x14ac:dyDescent="0.35">
      <c r="A175" t="s">
        <v>465</v>
      </c>
      <c r="B175" s="10" t="s">
        <v>10</v>
      </c>
      <c r="C175" s="15" t="s">
        <v>343</v>
      </c>
      <c r="D175" s="10" t="s">
        <v>208</v>
      </c>
      <c r="E175" s="13" t="s">
        <v>13</v>
      </c>
      <c r="F175" s="10">
        <v>2.62</v>
      </c>
      <c r="G175" s="10"/>
    </row>
    <row r="176" spans="1:8" x14ac:dyDescent="0.35">
      <c r="A176" t="s">
        <v>465</v>
      </c>
      <c r="B176" s="10" t="s">
        <v>10</v>
      </c>
      <c r="C176" s="15" t="s">
        <v>343</v>
      </c>
      <c r="D176" s="10" t="s">
        <v>210</v>
      </c>
      <c r="E176" s="13" t="s">
        <v>17</v>
      </c>
      <c r="F176" s="10"/>
      <c r="G176" s="10" t="s">
        <v>222</v>
      </c>
      <c r="H176" t="s">
        <v>231</v>
      </c>
    </row>
    <row r="177" spans="1:8" x14ac:dyDescent="0.35">
      <c r="A177" t="s">
        <v>232</v>
      </c>
      <c r="B177" t="s">
        <v>10</v>
      </c>
      <c r="C177" s="16" t="s">
        <v>11</v>
      </c>
      <c r="D177" t="s">
        <v>19</v>
      </c>
      <c r="E177" s="12" t="s">
        <v>17</v>
      </c>
      <c r="F177" t="s">
        <v>14</v>
      </c>
      <c r="G177" t="s">
        <v>233</v>
      </c>
      <c r="H177" t="s">
        <v>226</v>
      </c>
    </row>
    <row r="178" spans="1:8" x14ac:dyDescent="0.35">
      <c r="A178" t="s">
        <v>232</v>
      </c>
      <c r="B178" t="s">
        <v>10</v>
      </c>
      <c r="C178" s="16" t="s">
        <v>11</v>
      </c>
      <c r="D178" t="s">
        <v>33</v>
      </c>
      <c r="E178" s="12" t="s">
        <v>17</v>
      </c>
      <c r="F178" t="s">
        <v>14</v>
      </c>
      <c r="G178" t="s">
        <v>188</v>
      </c>
      <c r="H178" t="s">
        <v>229</v>
      </c>
    </row>
    <row r="179" spans="1:8" x14ac:dyDescent="0.35">
      <c r="A179" t="s">
        <v>232</v>
      </c>
      <c r="B179" t="s">
        <v>10</v>
      </c>
      <c r="C179" s="16" t="s">
        <v>11</v>
      </c>
      <c r="D179" t="s">
        <v>114</v>
      </c>
      <c r="E179" s="12" t="s">
        <v>13</v>
      </c>
      <c r="F179" t="s">
        <v>234</v>
      </c>
      <c r="G179" t="s">
        <v>235</v>
      </c>
    </row>
    <row r="180" spans="1:8" x14ac:dyDescent="0.35">
      <c r="A180" t="s">
        <v>232</v>
      </c>
      <c r="B180" t="s">
        <v>10</v>
      </c>
      <c r="C180" s="16" t="s">
        <v>11</v>
      </c>
      <c r="D180" t="s">
        <v>15</v>
      </c>
      <c r="E180" s="12" t="s">
        <v>13</v>
      </c>
      <c r="F180" t="s">
        <v>236</v>
      </c>
      <c r="G180" t="s">
        <v>14</v>
      </c>
    </row>
    <row r="181" spans="1:8" x14ac:dyDescent="0.35">
      <c r="A181" t="s">
        <v>232</v>
      </c>
      <c r="B181" t="s">
        <v>10</v>
      </c>
      <c r="C181" s="16" t="s">
        <v>11</v>
      </c>
      <c r="D181" t="s">
        <v>29</v>
      </c>
      <c r="E181" s="12" t="s">
        <v>13</v>
      </c>
      <c r="F181" t="s">
        <v>237</v>
      </c>
      <c r="G181" t="s">
        <v>14</v>
      </c>
    </row>
    <row r="182" spans="1:8" x14ac:dyDescent="0.35">
      <c r="A182" t="s">
        <v>232</v>
      </c>
      <c r="B182" t="s">
        <v>10</v>
      </c>
      <c r="C182" s="16" t="s">
        <v>11</v>
      </c>
      <c r="D182" t="s">
        <v>116</v>
      </c>
      <c r="E182" s="12" t="s">
        <v>17</v>
      </c>
      <c r="F182" t="s">
        <v>14</v>
      </c>
      <c r="G182" t="s">
        <v>238</v>
      </c>
      <c r="H182" t="s">
        <v>228</v>
      </c>
    </row>
    <row r="183" spans="1:8" x14ac:dyDescent="0.35">
      <c r="A183" t="s">
        <v>232</v>
      </c>
      <c r="B183" t="s">
        <v>18</v>
      </c>
      <c r="C183" s="16" t="s">
        <v>11</v>
      </c>
      <c r="D183" t="s">
        <v>29</v>
      </c>
      <c r="E183" s="12" t="s">
        <v>13</v>
      </c>
      <c r="F183" t="s">
        <v>239</v>
      </c>
      <c r="G183" t="s">
        <v>14</v>
      </c>
    </row>
    <row r="184" spans="1:8" x14ac:dyDescent="0.35">
      <c r="A184" t="s">
        <v>232</v>
      </c>
      <c r="B184" t="s">
        <v>18</v>
      </c>
      <c r="C184" s="16" t="s">
        <v>11</v>
      </c>
      <c r="D184" t="s">
        <v>15</v>
      </c>
      <c r="E184" s="12" t="s">
        <v>13</v>
      </c>
      <c r="F184" t="s">
        <v>240</v>
      </c>
      <c r="G184" t="s">
        <v>14</v>
      </c>
    </row>
    <row r="185" spans="1:8" x14ac:dyDescent="0.35">
      <c r="A185" t="s">
        <v>232</v>
      </c>
      <c r="B185" t="s">
        <v>18</v>
      </c>
      <c r="C185" s="16" t="s">
        <v>11</v>
      </c>
      <c r="D185" t="s">
        <v>103</v>
      </c>
      <c r="E185" s="12" t="s">
        <v>17</v>
      </c>
      <c r="F185" t="s">
        <v>14</v>
      </c>
      <c r="G185" t="s">
        <v>119</v>
      </c>
      <c r="H185" t="s">
        <v>226</v>
      </c>
    </row>
    <row r="186" spans="1:8" x14ac:dyDescent="0.35">
      <c r="A186" t="s">
        <v>232</v>
      </c>
      <c r="B186" t="s">
        <v>18</v>
      </c>
      <c r="C186" s="16" t="s">
        <v>11</v>
      </c>
      <c r="D186" t="s">
        <v>96</v>
      </c>
      <c r="E186" s="12" t="s">
        <v>13</v>
      </c>
      <c r="F186" t="s">
        <v>241</v>
      </c>
      <c r="G186" t="s">
        <v>14</v>
      </c>
    </row>
    <row r="187" spans="1:8" x14ac:dyDescent="0.35">
      <c r="A187" t="s">
        <v>244</v>
      </c>
      <c r="B187" t="s">
        <v>10</v>
      </c>
      <c r="C187" s="16" t="s">
        <v>31</v>
      </c>
      <c r="D187" t="s">
        <v>32</v>
      </c>
      <c r="E187" t="s">
        <v>13</v>
      </c>
      <c r="F187" t="s">
        <v>245</v>
      </c>
      <c r="G187" t="s">
        <v>246</v>
      </c>
    </row>
    <row r="188" spans="1:8" x14ac:dyDescent="0.35">
      <c r="A188" t="s">
        <v>244</v>
      </c>
      <c r="B188" t="s">
        <v>10</v>
      </c>
      <c r="C188" s="16" t="s">
        <v>31</v>
      </c>
      <c r="D188" t="s">
        <v>114</v>
      </c>
      <c r="E188" t="s">
        <v>13</v>
      </c>
      <c r="F188" t="s">
        <v>247</v>
      </c>
      <c r="G188" t="s">
        <v>14</v>
      </c>
    </row>
    <row r="189" spans="1:8" x14ac:dyDescent="0.35">
      <c r="A189" t="s">
        <v>244</v>
      </c>
      <c r="B189" t="s">
        <v>10</v>
      </c>
      <c r="C189" s="16" t="s">
        <v>31</v>
      </c>
      <c r="D189" t="s">
        <v>37</v>
      </c>
      <c r="E189" t="s">
        <v>13</v>
      </c>
      <c r="F189" t="s">
        <v>248</v>
      </c>
      <c r="G189" t="s">
        <v>249</v>
      </c>
    </row>
    <row r="190" spans="1:8" x14ac:dyDescent="0.35">
      <c r="A190" t="s">
        <v>244</v>
      </c>
      <c r="B190" t="s">
        <v>10</v>
      </c>
      <c r="C190" s="16" t="s">
        <v>31</v>
      </c>
      <c r="D190" t="s">
        <v>250</v>
      </c>
      <c r="E190" t="s">
        <v>13</v>
      </c>
      <c r="F190" t="s">
        <v>251</v>
      </c>
      <c r="G190" t="s">
        <v>14</v>
      </c>
    </row>
    <row r="191" spans="1:8" x14ac:dyDescent="0.35">
      <c r="A191" t="s">
        <v>244</v>
      </c>
      <c r="B191" t="s">
        <v>10</v>
      </c>
      <c r="C191" s="16" t="s">
        <v>31</v>
      </c>
      <c r="D191" t="s">
        <v>252</v>
      </c>
      <c r="E191" t="s">
        <v>13</v>
      </c>
      <c r="F191" t="s">
        <v>253</v>
      </c>
      <c r="G191" t="s">
        <v>254</v>
      </c>
    </row>
    <row r="192" spans="1:8" x14ac:dyDescent="0.35">
      <c r="A192" t="s">
        <v>244</v>
      </c>
      <c r="B192" t="s">
        <v>18</v>
      </c>
      <c r="C192" s="16" t="s">
        <v>31</v>
      </c>
      <c r="D192" t="s">
        <v>40</v>
      </c>
      <c r="E192" t="s">
        <v>17</v>
      </c>
      <c r="F192" t="s">
        <v>14</v>
      </c>
      <c r="G192" t="s">
        <v>255</v>
      </c>
      <c r="H192" t="s">
        <v>231</v>
      </c>
    </row>
    <row r="193" spans="1:8" x14ac:dyDescent="0.35">
      <c r="A193" t="s">
        <v>244</v>
      </c>
      <c r="B193" t="s">
        <v>18</v>
      </c>
      <c r="C193" s="16" t="s">
        <v>31</v>
      </c>
      <c r="D193" t="s">
        <v>96</v>
      </c>
      <c r="E193" t="s">
        <v>13</v>
      </c>
      <c r="F193" t="s">
        <v>256</v>
      </c>
      <c r="G193" t="s">
        <v>257</v>
      </c>
    </row>
    <row r="194" spans="1:8" x14ac:dyDescent="0.35">
      <c r="A194" t="s">
        <v>244</v>
      </c>
      <c r="B194" t="s">
        <v>18</v>
      </c>
      <c r="C194" s="16" t="s">
        <v>11</v>
      </c>
      <c r="D194" t="s">
        <v>29</v>
      </c>
      <c r="E194" t="s">
        <v>17</v>
      </c>
      <c r="F194" t="s">
        <v>14</v>
      </c>
      <c r="G194" t="s">
        <v>105</v>
      </c>
      <c r="H194" t="s">
        <v>227</v>
      </c>
    </row>
    <row r="195" spans="1:8" x14ac:dyDescent="0.35">
      <c r="A195" t="s">
        <v>244</v>
      </c>
      <c r="B195" t="s">
        <v>18</v>
      </c>
      <c r="C195" s="16" t="s">
        <v>11</v>
      </c>
      <c r="D195" t="s">
        <v>15</v>
      </c>
      <c r="E195" t="s">
        <v>17</v>
      </c>
      <c r="F195" t="s">
        <v>14</v>
      </c>
      <c r="G195" t="s">
        <v>188</v>
      </c>
      <c r="H195" t="s">
        <v>229</v>
      </c>
    </row>
    <row r="196" spans="1:8" x14ac:dyDescent="0.35">
      <c r="A196" t="s">
        <v>244</v>
      </c>
      <c r="B196" t="s">
        <v>18</v>
      </c>
      <c r="C196" s="16" t="s">
        <v>11</v>
      </c>
      <c r="D196" t="s">
        <v>40</v>
      </c>
      <c r="E196" t="s">
        <v>13</v>
      </c>
      <c r="F196" t="s">
        <v>260</v>
      </c>
      <c r="G196" t="s">
        <v>14</v>
      </c>
    </row>
    <row r="197" spans="1:8" x14ac:dyDescent="0.35">
      <c r="A197" t="s">
        <v>244</v>
      </c>
      <c r="B197" t="s">
        <v>18</v>
      </c>
      <c r="C197" s="16" t="s">
        <v>11</v>
      </c>
      <c r="D197" t="s">
        <v>29</v>
      </c>
      <c r="E197" t="s">
        <v>13</v>
      </c>
      <c r="F197" t="s">
        <v>261</v>
      </c>
      <c r="G197" t="s">
        <v>262</v>
      </c>
    </row>
    <row r="198" spans="1:8" x14ac:dyDescent="0.35">
      <c r="A198" t="s">
        <v>244</v>
      </c>
      <c r="B198" t="s">
        <v>18</v>
      </c>
      <c r="C198" s="16" t="s">
        <v>11</v>
      </c>
      <c r="D198" t="s">
        <v>15</v>
      </c>
      <c r="E198" t="s">
        <v>13</v>
      </c>
      <c r="F198" t="s">
        <v>263</v>
      </c>
      <c r="G198" t="s">
        <v>264</v>
      </c>
    </row>
    <row r="199" spans="1:8" x14ac:dyDescent="0.35">
      <c r="A199" t="s">
        <v>244</v>
      </c>
      <c r="B199" t="s">
        <v>18</v>
      </c>
      <c r="C199" s="16" t="s">
        <v>11</v>
      </c>
      <c r="D199" t="s">
        <v>103</v>
      </c>
      <c r="E199" t="s">
        <v>17</v>
      </c>
      <c r="F199" t="s">
        <v>14</v>
      </c>
      <c r="G199" t="s">
        <v>265</v>
      </c>
      <c r="H199" t="s">
        <v>227</v>
      </c>
    </row>
    <row r="200" spans="1:8" x14ac:dyDescent="0.35">
      <c r="A200" s="8">
        <v>46270</v>
      </c>
      <c r="B200" s="10" t="s">
        <v>10</v>
      </c>
      <c r="C200" s="16" t="s">
        <v>31</v>
      </c>
      <c r="D200" s="10" t="s">
        <v>268</v>
      </c>
      <c r="E200" s="10" t="s">
        <v>13</v>
      </c>
      <c r="F200" s="10">
        <v>3.56</v>
      </c>
      <c r="G200" s="10"/>
    </row>
    <row r="201" spans="1:8" x14ac:dyDescent="0.35">
      <c r="A201" s="9">
        <v>46270</v>
      </c>
      <c r="B201" s="10" t="s">
        <v>10</v>
      </c>
      <c r="C201" s="16" t="s">
        <v>31</v>
      </c>
      <c r="D201" s="10" t="s">
        <v>269</v>
      </c>
      <c r="E201" s="10" t="s">
        <v>13</v>
      </c>
      <c r="F201" s="10">
        <v>0.23</v>
      </c>
      <c r="G201" s="10"/>
    </row>
    <row r="202" spans="1:8" x14ac:dyDescent="0.35">
      <c r="A202" s="9">
        <v>46270</v>
      </c>
      <c r="B202" s="10" t="s">
        <v>10</v>
      </c>
      <c r="C202" s="16" t="s">
        <v>31</v>
      </c>
      <c r="D202" s="10" t="s">
        <v>204</v>
      </c>
      <c r="E202" s="10" t="s">
        <v>13</v>
      </c>
      <c r="F202" s="10">
        <v>2.5</v>
      </c>
      <c r="G202" s="10"/>
    </row>
    <row r="203" spans="1:8" x14ac:dyDescent="0.35">
      <c r="A203" s="9">
        <v>46270</v>
      </c>
      <c r="B203" s="10" t="s">
        <v>10</v>
      </c>
      <c r="C203" s="16" t="s">
        <v>31</v>
      </c>
      <c r="D203" s="10" t="s">
        <v>213</v>
      </c>
      <c r="E203" s="10" t="s">
        <v>13</v>
      </c>
      <c r="F203" s="10">
        <v>4.76</v>
      </c>
      <c r="G203" s="10"/>
    </row>
    <row r="204" spans="1:8" x14ac:dyDescent="0.35">
      <c r="A204" s="9">
        <v>46271</v>
      </c>
      <c r="B204" s="10" t="s">
        <v>10</v>
      </c>
      <c r="C204" s="16" t="s">
        <v>345</v>
      </c>
      <c r="D204" s="10" t="s">
        <v>269</v>
      </c>
      <c r="E204" s="10" t="s">
        <v>13</v>
      </c>
      <c r="F204" s="10">
        <v>2.27</v>
      </c>
      <c r="G204" s="10"/>
    </row>
    <row r="205" spans="1:8" x14ac:dyDescent="0.35">
      <c r="A205" s="9">
        <v>46271</v>
      </c>
      <c r="B205" s="10" t="s">
        <v>10</v>
      </c>
      <c r="C205" s="16" t="s">
        <v>345</v>
      </c>
      <c r="D205" s="10" t="s">
        <v>192</v>
      </c>
      <c r="E205" s="10" t="s">
        <v>13</v>
      </c>
      <c r="F205" s="10">
        <v>1.8</v>
      </c>
      <c r="G205" s="10"/>
    </row>
    <row r="206" spans="1:8" ht="15.75" customHeight="1" x14ac:dyDescent="0.35">
      <c r="A206" s="9">
        <v>46271</v>
      </c>
      <c r="B206" s="10" t="s">
        <v>10</v>
      </c>
      <c r="C206" s="16" t="s">
        <v>345</v>
      </c>
      <c r="D206" s="10" t="s">
        <v>212</v>
      </c>
      <c r="E206" s="10" t="s">
        <v>17</v>
      </c>
      <c r="F206" s="10">
        <v>0.06</v>
      </c>
      <c r="G206" s="14" t="s">
        <v>270</v>
      </c>
      <c r="H206" t="s">
        <v>226</v>
      </c>
    </row>
    <row r="207" spans="1:8" ht="15.75" customHeight="1" x14ac:dyDescent="0.35">
      <c r="A207" s="9">
        <v>46271</v>
      </c>
      <c r="B207" s="10" t="s">
        <v>18</v>
      </c>
      <c r="C207" s="16" t="s">
        <v>345</v>
      </c>
      <c r="D207" s="10" t="s">
        <v>204</v>
      </c>
      <c r="E207" s="10" t="s">
        <v>13</v>
      </c>
      <c r="F207" s="10">
        <v>2.57</v>
      </c>
      <c r="G207" s="14" t="s">
        <v>271</v>
      </c>
    </row>
    <row r="208" spans="1:8" x14ac:dyDescent="0.35">
      <c r="A208" s="9">
        <v>46271</v>
      </c>
      <c r="B208" s="10" t="s">
        <v>18</v>
      </c>
      <c r="C208" s="16" t="s">
        <v>345</v>
      </c>
      <c r="D208" s="10" t="s">
        <v>213</v>
      </c>
      <c r="E208" s="10" t="s">
        <v>13</v>
      </c>
      <c r="F208" s="10">
        <v>2.76</v>
      </c>
      <c r="G208" s="10"/>
    </row>
    <row r="209" spans="1:8" ht="15.75" customHeight="1" x14ac:dyDescent="0.35">
      <c r="A209" s="9">
        <v>46271</v>
      </c>
      <c r="B209" s="10" t="s">
        <v>10</v>
      </c>
      <c r="C209" s="16" t="s">
        <v>345</v>
      </c>
      <c r="D209" s="10" t="s">
        <v>268</v>
      </c>
      <c r="E209" s="10" t="s">
        <v>17</v>
      </c>
      <c r="F209" s="10">
        <v>7.0000000000000007E-2</v>
      </c>
      <c r="G209" s="10" t="s">
        <v>272</v>
      </c>
      <c r="H209" t="s">
        <v>226</v>
      </c>
    </row>
    <row r="210" spans="1:8" x14ac:dyDescent="0.35">
      <c r="A210" t="s">
        <v>273</v>
      </c>
      <c r="B210" t="s">
        <v>10</v>
      </c>
      <c r="C210" s="16" t="s">
        <v>11</v>
      </c>
      <c r="D210" t="s">
        <v>94</v>
      </c>
      <c r="E210" t="s">
        <v>17</v>
      </c>
      <c r="F210" t="s">
        <v>14</v>
      </c>
      <c r="G210" t="s">
        <v>163</v>
      </c>
      <c r="H210" t="s">
        <v>227</v>
      </c>
    </row>
    <row r="211" spans="1:8" x14ac:dyDescent="0.35">
      <c r="A211" t="s">
        <v>273</v>
      </c>
      <c r="B211" t="s">
        <v>10</v>
      </c>
      <c r="C211" s="16" t="s">
        <v>11</v>
      </c>
      <c r="D211" t="s">
        <v>36</v>
      </c>
      <c r="E211" t="s">
        <v>17</v>
      </c>
      <c r="F211" t="s">
        <v>14</v>
      </c>
      <c r="G211" t="s">
        <v>188</v>
      </c>
      <c r="H211" t="s">
        <v>229</v>
      </c>
    </row>
    <row r="212" spans="1:8" x14ac:dyDescent="0.35">
      <c r="A212" t="s">
        <v>273</v>
      </c>
      <c r="B212" t="s">
        <v>10</v>
      </c>
      <c r="C212" s="16" t="s">
        <v>11</v>
      </c>
      <c r="D212" t="s">
        <v>114</v>
      </c>
      <c r="E212" t="s">
        <v>13</v>
      </c>
      <c r="F212" t="s">
        <v>274</v>
      </c>
      <c r="G212" t="s">
        <v>275</v>
      </c>
    </row>
    <row r="213" spans="1:8" x14ac:dyDescent="0.35">
      <c r="A213" t="s">
        <v>273</v>
      </c>
      <c r="B213" t="s">
        <v>10</v>
      </c>
      <c r="C213" s="16" t="s">
        <v>11</v>
      </c>
      <c r="D213" t="s">
        <v>36</v>
      </c>
      <c r="E213" t="s">
        <v>13</v>
      </c>
      <c r="F213" t="s">
        <v>276</v>
      </c>
      <c r="G213" t="s">
        <v>14</v>
      </c>
    </row>
    <row r="214" spans="1:8" x14ac:dyDescent="0.35">
      <c r="A214" t="s">
        <v>273</v>
      </c>
      <c r="B214" t="s">
        <v>10</v>
      </c>
      <c r="C214" s="16" t="s">
        <v>11</v>
      </c>
      <c r="D214" t="s">
        <v>94</v>
      </c>
      <c r="E214" t="s">
        <v>17</v>
      </c>
      <c r="F214" t="s">
        <v>14</v>
      </c>
      <c r="G214" t="s">
        <v>163</v>
      </c>
      <c r="H214" t="s">
        <v>227</v>
      </c>
    </row>
    <row r="215" spans="1:8" x14ac:dyDescent="0.35">
      <c r="A215" t="s">
        <v>273</v>
      </c>
      <c r="B215" t="s">
        <v>18</v>
      </c>
      <c r="C215" s="16" t="s">
        <v>11</v>
      </c>
      <c r="D215" t="s">
        <v>149</v>
      </c>
      <c r="E215" t="s">
        <v>13</v>
      </c>
      <c r="F215" t="s">
        <v>277</v>
      </c>
      <c r="G215" t="s">
        <v>14</v>
      </c>
    </row>
    <row r="216" spans="1:8" x14ac:dyDescent="0.35">
      <c r="A216" t="s">
        <v>273</v>
      </c>
      <c r="B216" t="s">
        <v>18</v>
      </c>
      <c r="C216" s="16" t="s">
        <v>11</v>
      </c>
      <c r="D216" t="s">
        <v>15</v>
      </c>
      <c r="E216" t="s">
        <v>13</v>
      </c>
      <c r="F216" t="s">
        <v>278</v>
      </c>
      <c r="G216" t="s">
        <v>279</v>
      </c>
    </row>
    <row r="217" spans="1:8" x14ac:dyDescent="0.35">
      <c r="A217" t="s">
        <v>273</v>
      </c>
      <c r="B217" t="s">
        <v>18</v>
      </c>
      <c r="C217" s="16" t="s">
        <v>11</v>
      </c>
      <c r="D217" t="s">
        <v>29</v>
      </c>
      <c r="E217" t="s">
        <v>17</v>
      </c>
      <c r="F217" t="s">
        <v>14</v>
      </c>
      <c r="G217" t="s">
        <v>163</v>
      </c>
      <c r="H217" t="s">
        <v>227</v>
      </c>
    </row>
    <row r="218" spans="1:8" x14ac:dyDescent="0.35">
      <c r="A218" t="s">
        <v>282</v>
      </c>
      <c r="B218" t="s">
        <v>283</v>
      </c>
      <c r="C218" s="16" t="s">
        <v>11</v>
      </c>
      <c r="D218" t="s">
        <v>19</v>
      </c>
      <c r="E218" t="s">
        <v>17</v>
      </c>
      <c r="F218" t="s">
        <v>14</v>
      </c>
      <c r="G218" t="s">
        <v>265</v>
      </c>
      <c r="H218" t="s">
        <v>227</v>
      </c>
    </row>
    <row r="219" spans="1:8" x14ac:dyDescent="0.35">
      <c r="A219" t="s">
        <v>282</v>
      </c>
      <c r="B219" t="s">
        <v>283</v>
      </c>
      <c r="C219" s="16" t="s">
        <v>11</v>
      </c>
      <c r="D219" t="s">
        <v>94</v>
      </c>
      <c r="E219" t="s">
        <v>13</v>
      </c>
      <c r="F219" t="s">
        <v>284</v>
      </c>
      <c r="G219" t="s">
        <v>14</v>
      </c>
      <c r="H219" t="s">
        <v>14</v>
      </c>
    </row>
    <row r="220" spans="1:8" x14ac:dyDescent="0.35">
      <c r="A220" t="s">
        <v>282</v>
      </c>
      <c r="B220" t="s">
        <v>283</v>
      </c>
      <c r="C220" s="16" t="s">
        <v>11</v>
      </c>
      <c r="D220" t="s">
        <v>36</v>
      </c>
      <c r="E220" t="s">
        <v>13</v>
      </c>
      <c r="F220" t="s">
        <v>285</v>
      </c>
      <c r="G220" t="s">
        <v>14</v>
      </c>
      <c r="H220" t="s">
        <v>14</v>
      </c>
    </row>
    <row r="221" spans="1:8" x14ac:dyDescent="0.35">
      <c r="A221" t="s">
        <v>282</v>
      </c>
      <c r="B221" t="s">
        <v>283</v>
      </c>
      <c r="C221" s="16" t="s">
        <v>11</v>
      </c>
      <c r="D221" t="s">
        <v>19</v>
      </c>
      <c r="E221" t="s">
        <v>17</v>
      </c>
      <c r="F221" t="s">
        <v>14</v>
      </c>
      <c r="G221" t="s">
        <v>163</v>
      </c>
      <c r="H221" t="s">
        <v>227</v>
      </c>
    </row>
    <row r="222" spans="1:8" x14ac:dyDescent="0.35">
      <c r="A222" t="s">
        <v>282</v>
      </c>
      <c r="B222" t="s">
        <v>283</v>
      </c>
      <c r="C222" s="16" t="s">
        <v>11</v>
      </c>
      <c r="D222" t="s">
        <v>32</v>
      </c>
      <c r="E222" t="s">
        <v>17</v>
      </c>
      <c r="F222" t="s">
        <v>14</v>
      </c>
      <c r="G222" t="s">
        <v>286</v>
      </c>
      <c r="H222" t="s">
        <v>231</v>
      </c>
    </row>
    <row r="223" spans="1:8" x14ac:dyDescent="0.35">
      <c r="A223" t="s">
        <v>282</v>
      </c>
      <c r="B223" t="s">
        <v>283</v>
      </c>
      <c r="C223" s="16" t="s">
        <v>11</v>
      </c>
      <c r="D223" t="s">
        <v>24</v>
      </c>
      <c r="E223" t="s">
        <v>13</v>
      </c>
      <c r="F223" t="s">
        <v>287</v>
      </c>
      <c r="G223" t="s">
        <v>288</v>
      </c>
      <c r="H223" t="s">
        <v>14</v>
      </c>
    </row>
    <row r="224" spans="1:8" x14ac:dyDescent="0.35">
      <c r="A224" t="s">
        <v>282</v>
      </c>
      <c r="B224" t="s">
        <v>18</v>
      </c>
      <c r="C224" s="16" t="s">
        <v>11</v>
      </c>
      <c r="D224" t="s">
        <v>149</v>
      </c>
      <c r="E224" t="s">
        <v>13</v>
      </c>
      <c r="F224" t="s">
        <v>237</v>
      </c>
      <c r="G224" t="s">
        <v>14</v>
      </c>
      <c r="H224" t="s">
        <v>14</v>
      </c>
    </row>
    <row r="225" spans="1:8" x14ac:dyDescent="0.35">
      <c r="A225" t="s">
        <v>282</v>
      </c>
      <c r="B225" t="s">
        <v>18</v>
      </c>
      <c r="C225" s="16" t="s">
        <v>11</v>
      </c>
      <c r="D225" t="s">
        <v>289</v>
      </c>
      <c r="E225" t="s">
        <v>17</v>
      </c>
      <c r="F225" t="s">
        <v>14</v>
      </c>
      <c r="G225" t="s">
        <v>163</v>
      </c>
      <c r="H225" t="s">
        <v>227</v>
      </c>
    </row>
    <row r="226" spans="1:8" x14ac:dyDescent="0.35">
      <c r="A226" t="s">
        <v>282</v>
      </c>
      <c r="B226" t="s">
        <v>18</v>
      </c>
      <c r="C226" s="16" t="s">
        <v>11</v>
      </c>
      <c r="D226" t="s">
        <v>40</v>
      </c>
      <c r="E226" t="s">
        <v>13</v>
      </c>
      <c r="F226" t="s">
        <v>290</v>
      </c>
      <c r="H226" t="s">
        <v>14</v>
      </c>
    </row>
    <row r="227" spans="1:8" x14ac:dyDescent="0.35">
      <c r="A227" t="s">
        <v>282</v>
      </c>
      <c r="B227" t="s">
        <v>18</v>
      </c>
      <c r="C227" s="16" t="s">
        <v>11</v>
      </c>
      <c r="D227" t="s">
        <v>29</v>
      </c>
      <c r="E227" t="s">
        <v>17</v>
      </c>
      <c r="F227" t="s">
        <v>14</v>
      </c>
      <c r="G227" t="s">
        <v>163</v>
      </c>
      <c r="H227" t="s">
        <v>227</v>
      </c>
    </row>
    <row r="228" spans="1:8" x14ac:dyDescent="0.35">
      <c r="A228" t="s">
        <v>282</v>
      </c>
      <c r="B228" t="s">
        <v>18</v>
      </c>
      <c r="C228" s="16" t="s">
        <v>11</v>
      </c>
      <c r="D228" t="s">
        <v>15</v>
      </c>
      <c r="E228" t="s">
        <v>17</v>
      </c>
      <c r="F228" t="s">
        <v>14</v>
      </c>
      <c r="G228" t="s">
        <v>188</v>
      </c>
      <c r="H228" t="s">
        <v>229</v>
      </c>
    </row>
    <row r="229" spans="1:8" x14ac:dyDescent="0.35">
      <c r="A229" t="s">
        <v>282</v>
      </c>
      <c r="B229" t="s">
        <v>18</v>
      </c>
      <c r="C229" s="16" t="s">
        <v>11</v>
      </c>
      <c r="D229" t="s">
        <v>29</v>
      </c>
      <c r="E229" t="s">
        <v>13</v>
      </c>
      <c r="F229" t="s">
        <v>291</v>
      </c>
      <c r="G229" t="s">
        <v>14</v>
      </c>
      <c r="H229" t="s">
        <v>14</v>
      </c>
    </row>
    <row r="230" spans="1:8" x14ac:dyDescent="0.35">
      <c r="A230" t="s">
        <v>282</v>
      </c>
      <c r="B230" t="s">
        <v>18</v>
      </c>
      <c r="C230" s="16" t="s">
        <v>11</v>
      </c>
      <c r="D230" t="s">
        <v>15</v>
      </c>
      <c r="E230" t="s">
        <v>17</v>
      </c>
      <c r="F230" t="s">
        <v>14</v>
      </c>
      <c r="G230" t="s">
        <v>188</v>
      </c>
      <c r="H230" t="s">
        <v>229</v>
      </c>
    </row>
    <row r="231" spans="1:8" x14ac:dyDescent="0.35">
      <c r="A231" t="s">
        <v>282</v>
      </c>
      <c r="B231" t="s">
        <v>18</v>
      </c>
      <c r="C231" s="16" t="s">
        <v>11</v>
      </c>
      <c r="D231" t="s">
        <v>15</v>
      </c>
      <c r="E231" t="s">
        <v>13</v>
      </c>
      <c r="F231" t="s">
        <v>292</v>
      </c>
      <c r="G231" t="s">
        <v>14</v>
      </c>
      <c r="H231" t="s">
        <v>14</v>
      </c>
    </row>
    <row r="232" spans="1:8" x14ac:dyDescent="0.35">
      <c r="A232" t="s">
        <v>462</v>
      </c>
      <c r="B232" s="10" t="s">
        <v>10</v>
      </c>
      <c r="C232" s="16" t="s">
        <v>11</v>
      </c>
      <c r="D232" s="10" t="s">
        <v>268</v>
      </c>
      <c r="E232" s="10" t="s">
        <v>13</v>
      </c>
      <c r="F232" s="10">
        <v>3.25</v>
      </c>
      <c r="G232" s="10"/>
    </row>
    <row r="233" spans="1:8" x14ac:dyDescent="0.35">
      <c r="A233" t="s">
        <v>462</v>
      </c>
      <c r="B233" s="10" t="s">
        <v>10</v>
      </c>
      <c r="C233" s="16" t="s">
        <v>11</v>
      </c>
      <c r="D233" s="10" t="s">
        <v>269</v>
      </c>
      <c r="E233" s="10" t="s">
        <v>17</v>
      </c>
      <c r="F233" s="10">
        <v>0.05</v>
      </c>
      <c r="G233" s="10" t="s">
        <v>293</v>
      </c>
      <c r="H233" t="s">
        <v>226</v>
      </c>
    </row>
    <row r="234" spans="1:8" x14ac:dyDescent="0.35">
      <c r="A234" t="s">
        <v>462</v>
      </c>
      <c r="B234" s="10" t="s">
        <v>10</v>
      </c>
      <c r="C234" s="16" t="s">
        <v>11</v>
      </c>
      <c r="D234" s="10" t="s">
        <v>294</v>
      </c>
      <c r="E234" s="10" t="s">
        <v>13</v>
      </c>
      <c r="F234" s="10">
        <v>2.11</v>
      </c>
      <c r="G234" s="10"/>
    </row>
    <row r="235" spans="1:8" x14ac:dyDescent="0.35">
      <c r="A235" t="s">
        <v>462</v>
      </c>
      <c r="B235" s="10" t="s">
        <v>10</v>
      </c>
      <c r="C235" s="16" t="s">
        <v>11</v>
      </c>
      <c r="D235" s="10" t="s">
        <v>191</v>
      </c>
      <c r="E235" s="10" t="s">
        <v>17</v>
      </c>
      <c r="F235" s="10"/>
      <c r="G235" s="10" t="s">
        <v>295</v>
      </c>
      <c r="H235" t="s">
        <v>227</v>
      </c>
    </row>
    <row r="236" spans="1:8" x14ac:dyDescent="0.35">
      <c r="A236" t="s">
        <v>462</v>
      </c>
      <c r="B236" s="10" t="s">
        <v>18</v>
      </c>
      <c r="C236" s="16" t="s">
        <v>11</v>
      </c>
      <c r="D236" s="10" t="s">
        <v>213</v>
      </c>
      <c r="E236" s="10" t="s">
        <v>13</v>
      </c>
      <c r="F236" s="10">
        <v>2.0499999999999998</v>
      </c>
      <c r="G236" s="10"/>
    </row>
    <row r="237" spans="1:8" x14ac:dyDescent="0.35">
      <c r="A237" t="s">
        <v>462</v>
      </c>
      <c r="B237" s="10" t="s">
        <v>18</v>
      </c>
      <c r="C237" s="16" t="s">
        <v>11</v>
      </c>
      <c r="D237" s="10" t="s">
        <v>296</v>
      </c>
      <c r="E237" s="10" t="s">
        <v>17</v>
      </c>
      <c r="F237" s="10"/>
      <c r="G237" s="10" t="s">
        <v>297</v>
      </c>
      <c r="H237" t="s">
        <v>230</v>
      </c>
    </row>
    <row r="238" spans="1:8" x14ac:dyDescent="0.35">
      <c r="A238" t="s">
        <v>462</v>
      </c>
      <c r="B238" s="10" t="s">
        <v>18</v>
      </c>
      <c r="C238" s="16" t="s">
        <v>11</v>
      </c>
      <c r="D238" s="10" t="s">
        <v>132</v>
      </c>
      <c r="E238" s="10" t="s">
        <v>17</v>
      </c>
      <c r="F238" s="10"/>
      <c r="G238" s="10" t="s">
        <v>298</v>
      </c>
      <c r="H238" t="s">
        <v>227</v>
      </c>
    </row>
    <row r="239" spans="1:8" x14ac:dyDescent="0.35">
      <c r="A239" t="s">
        <v>462</v>
      </c>
      <c r="B239" s="10" t="s">
        <v>10</v>
      </c>
      <c r="C239" s="16" t="s">
        <v>11</v>
      </c>
      <c r="D239" s="10" t="s">
        <v>299</v>
      </c>
      <c r="E239" s="10" t="s">
        <v>17</v>
      </c>
      <c r="F239" s="10"/>
      <c r="G239" s="10" t="s">
        <v>300</v>
      </c>
      <c r="H239" t="s">
        <v>231</v>
      </c>
    </row>
    <row r="240" spans="1:8" x14ac:dyDescent="0.35">
      <c r="A240" t="s">
        <v>301</v>
      </c>
      <c r="B240" t="s">
        <v>18</v>
      </c>
      <c r="C240" s="16" t="s">
        <v>11</v>
      </c>
      <c r="D240" t="s">
        <v>40</v>
      </c>
      <c r="E240" t="s">
        <v>13</v>
      </c>
      <c r="F240" t="s">
        <v>302</v>
      </c>
      <c r="G240" t="s">
        <v>14</v>
      </c>
    </row>
    <row r="241" spans="1:8" x14ac:dyDescent="0.35">
      <c r="A241" t="s">
        <v>301</v>
      </c>
      <c r="B241" t="s">
        <v>18</v>
      </c>
      <c r="C241" s="16" t="s">
        <v>11</v>
      </c>
      <c r="D241" t="s">
        <v>15</v>
      </c>
      <c r="E241" t="s">
        <v>17</v>
      </c>
      <c r="F241" t="s">
        <v>14</v>
      </c>
      <c r="G241" t="s">
        <v>188</v>
      </c>
      <c r="H241" t="s">
        <v>229</v>
      </c>
    </row>
    <row r="242" spans="1:8" x14ac:dyDescent="0.35">
      <c r="A242" t="s">
        <v>301</v>
      </c>
      <c r="B242" t="s">
        <v>18</v>
      </c>
      <c r="C242" s="16" t="s">
        <v>11</v>
      </c>
      <c r="D242" t="s">
        <v>29</v>
      </c>
      <c r="E242" t="s">
        <v>13</v>
      </c>
      <c r="F242" t="s">
        <v>303</v>
      </c>
      <c r="G242" t="s">
        <v>14</v>
      </c>
    </row>
    <row r="243" spans="1:8" x14ac:dyDescent="0.35">
      <c r="A243" t="s">
        <v>301</v>
      </c>
      <c r="B243" t="s">
        <v>18</v>
      </c>
      <c r="C243" s="16" t="s">
        <v>11</v>
      </c>
      <c r="D243" t="s">
        <v>289</v>
      </c>
      <c r="E243" t="s">
        <v>17</v>
      </c>
      <c r="F243" t="s">
        <v>14</v>
      </c>
      <c r="G243" t="s">
        <v>304</v>
      </c>
      <c r="H243" t="s">
        <v>230</v>
      </c>
    </row>
    <row r="244" spans="1:8" x14ac:dyDescent="0.35">
      <c r="A244" t="s">
        <v>301</v>
      </c>
      <c r="B244" t="s">
        <v>10</v>
      </c>
      <c r="C244" s="16" t="s">
        <v>11</v>
      </c>
      <c r="D244" t="s">
        <v>110</v>
      </c>
      <c r="E244" t="s">
        <v>13</v>
      </c>
      <c r="F244" t="s">
        <v>305</v>
      </c>
      <c r="G244" t="s">
        <v>14</v>
      </c>
    </row>
    <row r="245" spans="1:8" x14ac:dyDescent="0.35">
      <c r="A245" t="s">
        <v>301</v>
      </c>
      <c r="B245" t="s">
        <v>10</v>
      </c>
      <c r="C245" s="16" t="s">
        <v>11</v>
      </c>
      <c r="D245" t="s">
        <v>94</v>
      </c>
      <c r="E245" t="s">
        <v>13</v>
      </c>
      <c r="F245" t="s">
        <v>306</v>
      </c>
      <c r="G245" t="s">
        <v>14</v>
      </c>
    </row>
    <row r="246" spans="1:8" x14ac:dyDescent="0.35">
      <c r="A246" t="s">
        <v>301</v>
      </c>
      <c r="B246" t="s">
        <v>10</v>
      </c>
      <c r="C246" s="16" t="s">
        <v>11</v>
      </c>
      <c r="D246" t="s">
        <v>36</v>
      </c>
      <c r="E246" t="s">
        <v>17</v>
      </c>
      <c r="F246" t="s">
        <v>14</v>
      </c>
      <c r="G246" t="s">
        <v>100</v>
      </c>
      <c r="H246" t="s">
        <v>226</v>
      </c>
    </row>
    <row r="247" spans="1:8" x14ac:dyDescent="0.35">
      <c r="A247" t="s">
        <v>301</v>
      </c>
      <c r="B247" t="s">
        <v>18</v>
      </c>
      <c r="C247" s="16" t="s">
        <v>11</v>
      </c>
      <c r="D247" t="s">
        <v>15</v>
      </c>
      <c r="E247" t="s">
        <v>17</v>
      </c>
      <c r="F247" t="s">
        <v>14</v>
      </c>
      <c r="G247" t="s">
        <v>188</v>
      </c>
      <c r="H247" t="s">
        <v>229</v>
      </c>
    </row>
    <row r="248" spans="1:8" x14ac:dyDescent="0.35">
      <c r="A248" t="s">
        <v>460</v>
      </c>
      <c r="B248" s="10" t="s">
        <v>18</v>
      </c>
      <c r="C248" s="16" t="s">
        <v>31</v>
      </c>
      <c r="D248" s="10" t="s">
        <v>134</v>
      </c>
      <c r="E248" s="10" t="s">
        <v>13</v>
      </c>
      <c r="F248" s="10">
        <v>0.92</v>
      </c>
      <c r="G248" s="10"/>
    </row>
    <row r="249" spans="1:8" x14ac:dyDescent="0.35">
      <c r="A249" t="s">
        <v>460</v>
      </c>
      <c r="B249" s="10" t="s">
        <v>10</v>
      </c>
      <c r="C249" s="16" t="s">
        <v>31</v>
      </c>
      <c r="D249" s="10" t="s">
        <v>268</v>
      </c>
      <c r="E249" s="10" t="s">
        <v>17</v>
      </c>
      <c r="F249" s="10">
        <v>0.04</v>
      </c>
      <c r="G249" s="10" t="s">
        <v>293</v>
      </c>
      <c r="H249" t="s">
        <v>226</v>
      </c>
    </row>
    <row r="250" spans="1:8" x14ac:dyDescent="0.35">
      <c r="A250" t="s">
        <v>460</v>
      </c>
      <c r="B250" s="10" t="s">
        <v>10</v>
      </c>
      <c r="C250" s="16" t="s">
        <v>31</v>
      </c>
      <c r="D250" s="10" t="s">
        <v>191</v>
      </c>
      <c r="E250" s="10" t="s">
        <v>13</v>
      </c>
      <c r="F250" s="10">
        <v>3.41</v>
      </c>
      <c r="G250" s="10"/>
    </row>
    <row r="251" spans="1:8" x14ac:dyDescent="0.35">
      <c r="A251" t="s">
        <v>461</v>
      </c>
      <c r="B251" s="10" t="s">
        <v>18</v>
      </c>
      <c r="C251" s="16" t="s">
        <v>31</v>
      </c>
      <c r="D251" s="10" t="s">
        <v>174</v>
      </c>
      <c r="E251" s="10" t="s">
        <v>13</v>
      </c>
      <c r="F251" s="1">
        <v>1.55</v>
      </c>
    </row>
    <row r="252" spans="1:8" x14ac:dyDescent="0.35">
      <c r="A252" t="s">
        <v>461</v>
      </c>
      <c r="B252" s="10" t="s">
        <v>18</v>
      </c>
      <c r="C252" s="16" t="s">
        <v>31</v>
      </c>
      <c r="D252" s="10" t="s">
        <v>137</v>
      </c>
      <c r="E252" s="10" t="s">
        <v>13</v>
      </c>
      <c r="F252" s="1">
        <v>4.21</v>
      </c>
      <c r="G252" s="10" t="s">
        <v>313</v>
      </c>
    </row>
    <row r="253" spans="1:8" x14ac:dyDescent="0.35">
      <c r="A253" t="s">
        <v>461</v>
      </c>
      <c r="B253" s="10" t="s">
        <v>18</v>
      </c>
      <c r="C253" s="16" t="s">
        <v>31</v>
      </c>
      <c r="D253" s="10" t="s">
        <v>138</v>
      </c>
      <c r="E253" s="10" t="s">
        <v>13</v>
      </c>
      <c r="F253" s="1">
        <v>2.92</v>
      </c>
    </row>
    <row r="254" spans="1:8" x14ac:dyDescent="0.35">
      <c r="A254" t="s">
        <v>461</v>
      </c>
      <c r="B254" s="10" t="s">
        <v>10</v>
      </c>
      <c r="C254" s="16" t="s">
        <v>31</v>
      </c>
      <c r="D254" s="10" t="s">
        <v>309</v>
      </c>
      <c r="E254" s="10" t="s">
        <v>13</v>
      </c>
      <c r="F254" s="1">
        <v>1.56</v>
      </c>
      <c r="G254" s="10" t="s">
        <v>314</v>
      </c>
    </row>
    <row r="255" spans="1:8" x14ac:dyDescent="0.35">
      <c r="A255" t="s">
        <v>461</v>
      </c>
      <c r="B255" s="10" t="s">
        <v>10</v>
      </c>
      <c r="C255" s="16" t="s">
        <v>31</v>
      </c>
      <c r="D255" s="10" t="s">
        <v>310</v>
      </c>
      <c r="E255" s="10" t="s">
        <v>13</v>
      </c>
      <c r="F255" s="1">
        <v>0.28999999999999998</v>
      </c>
    </row>
    <row r="256" spans="1:8" x14ac:dyDescent="0.35">
      <c r="A256" t="s">
        <v>461</v>
      </c>
      <c r="B256" s="10" t="s">
        <v>10</v>
      </c>
      <c r="C256" s="16" t="s">
        <v>31</v>
      </c>
      <c r="D256" s="10" t="s">
        <v>311</v>
      </c>
      <c r="E256" s="10" t="s">
        <v>13</v>
      </c>
      <c r="F256" s="1">
        <v>2.4900000000000002</v>
      </c>
    </row>
    <row r="257" spans="1:8" x14ac:dyDescent="0.35">
      <c r="A257" t="s">
        <v>461</v>
      </c>
      <c r="B257" s="10" t="s">
        <v>10</v>
      </c>
      <c r="C257" s="16" t="s">
        <v>31</v>
      </c>
      <c r="D257" s="10" t="s">
        <v>312</v>
      </c>
      <c r="E257" s="10" t="s">
        <v>13</v>
      </c>
      <c r="F257" s="1">
        <v>1</v>
      </c>
    </row>
    <row r="258" spans="1:8" x14ac:dyDescent="0.35">
      <c r="A258" t="s">
        <v>315</v>
      </c>
      <c r="B258" t="s">
        <v>10</v>
      </c>
      <c r="C258" s="16" t="s">
        <v>343</v>
      </c>
      <c r="D258" t="s">
        <v>110</v>
      </c>
      <c r="E258" t="s">
        <v>13</v>
      </c>
      <c r="F258" t="s">
        <v>316</v>
      </c>
      <c r="G258" t="s">
        <v>14</v>
      </c>
    </row>
    <row r="259" spans="1:8" x14ac:dyDescent="0.35">
      <c r="A259" t="s">
        <v>315</v>
      </c>
      <c r="B259" t="s">
        <v>10</v>
      </c>
      <c r="C259" s="16" t="s">
        <v>343</v>
      </c>
      <c r="D259" t="s">
        <v>19</v>
      </c>
      <c r="E259" t="s">
        <v>13</v>
      </c>
      <c r="F259" t="s">
        <v>317</v>
      </c>
      <c r="G259" t="s">
        <v>14</v>
      </c>
    </row>
    <row r="260" spans="1:8" x14ac:dyDescent="0.35">
      <c r="A260" t="s">
        <v>315</v>
      </c>
      <c r="B260" t="s">
        <v>10</v>
      </c>
      <c r="C260" s="16" t="s">
        <v>343</v>
      </c>
      <c r="D260" t="s">
        <v>94</v>
      </c>
      <c r="E260" t="s">
        <v>17</v>
      </c>
      <c r="F260" t="s">
        <v>14</v>
      </c>
      <c r="G260" t="s">
        <v>265</v>
      </c>
      <c r="H260" t="s">
        <v>227</v>
      </c>
    </row>
    <row r="261" spans="1:8" x14ac:dyDescent="0.35">
      <c r="A261" t="s">
        <v>315</v>
      </c>
      <c r="B261" t="s">
        <v>10</v>
      </c>
      <c r="C261" s="16" t="s">
        <v>343</v>
      </c>
      <c r="D261" t="s">
        <v>94</v>
      </c>
      <c r="E261" t="s">
        <v>17</v>
      </c>
      <c r="F261" t="s">
        <v>14</v>
      </c>
      <c r="G261" t="s">
        <v>265</v>
      </c>
      <c r="H261" t="s">
        <v>227</v>
      </c>
    </row>
    <row r="262" spans="1:8" x14ac:dyDescent="0.35">
      <c r="A262" t="s">
        <v>315</v>
      </c>
      <c r="B262" t="s">
        <v>10</v>
      </c>
      <c r="C262" s="16" t="s">
        <v>343</v>
      </c>
      <c r="D262" t="s">
        <v>94</v>
      </c>
      <c r="E262" t="s">
        <v>13</v>
      </c>
      <c r="F262" t="s">
        <v>318</v>
      </c>
      <c r="G262" t="s">
        <v>319</v>
      </c>
    </row>
    <row r="263" spans="1:8" x14ac:dyDescent="0.35">
      <c r="A263" t="s">
        <v>315</v>
      </c>
      <c r="B263" t="s">
        <v>10</v>
      </c>
      <c r="C263" s="16" t="s">
        <v>343</v>
      </c>
      <c r="D263" t="s">
        <v>37</v>
      </c>
      <c r="E263" t="s">
        <v>17</v>
      </c>
      <c r="F263" t="s">
        <v>14</v>
      </c>
      <c r="G263" t="s">
        <v>100</v>
      </c>
      <c r="H263" t="s">
        <v>226</v>
      </c>
    </row>
    <row r="264" spans="1:8" x14ac:dyDescent="0.35">
      <c r="A264" t="s">
        <v>315</v>
      </c>
      <c r="B264" t="s">
        <v>10</v>
      </c>
      <c r="C264" s="16" t="s">
        <v>343</v>
      </c>
      <c r="D264" t="s">
        <v>320</v>
      </c>
      <c r="E264" t="s">
        <v>17</v>
      </c>
      <c r="F264" t="s">
        <v>14</v>
      </c>
      <c r="G264" t="s">
        <v>321</v>
      </c>
      <c r="H264" t="s">
        <v>231</v>
      </c>
    </row>
    <row r="265" spans="1:8" x14ac:dyDescent="0.35">
      <c r="A265" t="s">
        <v>315</v>
      </c>
      <c r="B265" t="s">
        <v>10</v>
      </c>
      <c r="C265" s="16" t="s">
        <v>343</v>
      </c>
      <c r="D265" t="s">
        <v>36</v>
      </c>
      <c r="E265" t="s">
        <v>13</v>
      </c>
      <c r="F265" t="s">
        <v>322</v>
      </c>
      <c r="G265" t="s">
        <v>14</v>
      </c>
    </row>
    <row r="266" spans="1:8" x14ac:dyDescent="0.35">
      <c r="A266" t="s">
        <v>315</v>
      </c>
      <c r="B266" t="s">
        <v>18</v>
      </c>
      <c r="C266" s="16" t="s">
        <v>343</v>
      </c>
      <c r="D266" t="s">
        <v>29</v>
      </c>
      <c r="E266" t="s">
        <v>13</v>
      </c>
      <c r="F266" t="s">
        <v>323</v>
      </c>
      <c r="G266" t="s">
        <v>14</v>
      </c>
    </row>
    <row r="267" spans="1:8" x14ac:dyDescent="0.35">
      <c r="A267" t="s">
        <v>315</v>
      </c>
      <c r="B267" t="s">
        <v>18</v>
      </c>
      <c r="C267" s="16" t="s">
        <v>343</v>
      </c>
      <c r="D267" t="s">
        <v>15</v>
      </c>
      <c r="E267" t="s">
        <v>13</v>
      </c>
      <c r="F267" t="s">
        <v>324</v>
      </c>
      <c r="G267" t="s">
        <v>14</v>
      </c>
    </row>
    <row r="268" spans="1:8" x14ac:dyDescent="0.35">
      <c r="A268" t="s">
        <v>315</v>
      </c>
      <c r="B268" t="s">
        <v>10</v>
      </c>
      <c r="C268" s="16" t="s">
        <v>343</v>
      </c>
      <c r="D268" t="s">
        <v>94</v>
      </c>
      <c r="E268" t="s">
        <v>13</v>
      </c>
      <c r="F268" t="s">
        <v>325</v>
      </c>
      <c r="G268" t="s">
        <v>14</v>
      </c>
    </row>
    <row r="269" spans="1:8" x14ac:dyDescent="0.35">
      <c r="A269" t="s">
        <v>328</v>
      </c>
      <c r="B269" t="s">
        <v>283</v>
      </c>
      <c r="C269" s="16" t="s">
        <v>31</v>
      </c>
      <c r="D269" t="s">
        <v>19</v>
      </c>
      <c r="E269" t="s">
        <v>13</v>
      </c>
      <c r="F269" t="s">
        <v>329</v>
      </c>
      <c r="G269" t="s">
        <v>14</v>
      </c>
    </row>
    <row r="270" spans="1:8" x14ac:dyDescent="0.35">
      <c r="A270" t="s">
        <v>328</v>
      </c>
      <c r="B270" t="s">
        <v>283</v>
      </c>
      <c r="C270" s="16" t="s">
        <v>31</v>
      </c>
      <c r="D270" t="s">
        <v>36</v>
      </c>
      <c r="E270" t="s">
        <v>13</v>
      </c>
      <c r="F270" t="s">
        <v>330</v>
      </c>
      <c r="G270" t="s">
        <v>14</v>
      </c>
    </row>
    <row r="271" spans="1:8" x14ac:dyDescent="0.35">
      <c r="A271" t="s">
        <v>328</v>
      </c>
      <c r="B271" t="s">
        <v>283</v>
      </c>
      <c r="C271" s="16" t="s">
        <v>31</v>
      </c>
      <c r="D271" t="s">
        <v>94</v>
      </c>
      <c r="E271" t="s">
        <v>13</v>
      </c>
      <c r="F271" t="s">
        <v>287</v>
      </c>
      <c r="G271" t="s">
        <v>331</v>
      </c>
    </row>
    <row r="272" spans="1:8" x14ac:dyDescent="0.35">
      <c r="A272" t="s">
        <v>328</v>
      </c>
      <c r="B272" t="s">
        <v>283</v>
      </c>
      <c r="C272" s="16" t="s">
        <v>31</v>
      </c>
      <c r="D272" t="s">
        <v>320</v>
      </c>
      <c r="E272" t="s">
        <v>13</v>
      </c>
      <c r="F272" t="s">
        <v>332</v>
      </c>
      <c r="G272" t="s">
        <v>14</v>
      </c>
    </row>
    <row r="273" spans="1:8" x14ac:dyDescent="0.35">
      <c r="A273" t="s">
        <v>328</v>
      </c>
      <c r="B273" t="s">
        <v>18</v>
      </c>
      <c r="C273" s="16" t="s">
        <v>31</v>
      </c>
      <c r="D273" t="s">
        <v>40</v>
      </c>
      <c r="E273" t="s">
        <v>17</v>
      </c>
      <c r="F273" t="s">
        <v>14</v>
      </c>
      <c r="G273" t="s">
        <v>163</v>
      </c>
      <c r="H273" t="s">
        <v>227</v>
      </c>
    </row>
    <row r="274" spans="1:8" x14ac:dyDescent="0.35">
      <c r="A274" t="s">
        <v>328</v>
      </c>
      <c r="B274" t="s">
        <v>18</v>
      </c>
      <c r="C274" s="16" t="s">
        <v>31</v>
      </c>
      <c r="D274" t="s">
        <v>29</v>
      </c>
      <c r="E274" t="s">
        <v>17</v>
      </c>
      <c r="F274" t="s">
        <v>14</v>
      </c>
      <c r="G274" t="s">
        <v>188</v>
      </c>
      <c r="H274" t="s">
        <v>229</v>
      </c>
    </row>
    <row r="275" spans="1:8" x14ac:dyDescent="0.35">
      <c r="A275" t="s">
        <v>328</v>
      </c>
      <c r="B275" t="s">
        <v>18</v>
      </c>
      <c r="C275" s="16" t="s">
        <v>31</v>
      </c>
      <c r="D275" t="s">
        <v>15</v>
      </c>
      <c r="E275" t="s">
        <v>13</v>
      </c>
      <c r="F275">
        <v>12</v>
      </c>
      <c r="G275" t="s">
        <v>333</v>
      </c>
    </row>
    <row r="276" spans="1:8" x14ac:dyDescent="0.35">
      <c r="A276" t="s">
        <v>328</v>
      </c>
      <c r="B276" t="s">
        <v>283</v>
      </c>
      <c r="C276" s="16" t="s">
        <v>343</v>
      </c>
      <c r="D276" t="s">
        <v>37</v>
      </c>
      <c r="E276" t="s">
        <v>13</v>
      </c>
      <c r="F276" t="s">
        <v>236</v>
      </c>
      <c r="G276" t="s">
        <v>335</v>
      </c>
    </row>
    <row r="277" spans="1:8" x14ac:dyDescent="0.35">
      <c r="A277" t="s">
        <v>328</v>
      </c>
      <c r="B277" t="s">
        <v>283</v>
      </c>
      <c r="C277" s="16" t="s">
        <v>343</v>
      </c>
      <c r="D277" t="s">
        <v>250</v>
      </c>
      <c r="E277" t="s">
        <v>17</v>
      </c>
      <c r="F277" t="s">
        <v>14</v>
      </c>
      <c r="G277" t="s">
        <v>163</v>
      </c>
      <c r="H277" t="s">
        <v>227</v>
      </c>
    </row>
    <row r="278" spans="1:8" x14ac:dyDescent="0.35">
      <c r="A278" t="s">
        <v>328</v>
      </c>
      <c r="B278" t="s">
        <v>283</v>
      </c>
      <c r="C278" s="16" t="s">
        <v>343</v>
      </c>
      <c r="D278" t="s">
        <v>336</v>
      </c>
      <c r="E278" t="s">
        <v>13</v>
      </c>
      <c r="F278" t="s">
        <v>337</v>
      </c>
      <c r="G278" t="s">
        <v>14</v>
      </c>
    </row>
    <row r="279" spans="1:8" x14ac:dyDescent="0.35">
      <c r="A279" t="s">
        <v>328</v>
      </c>
      <c r="B279" t="s">
        <v>283</v>
      </c>
      <c r="C279" s="16" t="s">
        <v>343</v>
      </c>
      <c r="D279" t="s">
        <v>338</v>
      </c>
      <c r="E279" t="s">
        <v>17</v>
      </c>
      <c r="F279" t="s">
        <v>14</v>
      </c>
      <c r="G279" t="s">
        <v>163</v>
      </c>
      <c r="H279" t="s">
        <v>227</v>
      </c>
    </row>
    <row r="280" spans="1:8" x14ac:dyDescent="0.35">
      <c r="A280" t="s">
        <v>328</v>
      </c>
      <c r="B280" t="s">
        <v>18</v>
      </c>
      <c r="C280" s="16" t="s">
        <v>343</v>
      </c>
      <c r="D280" t="s">
        <v>149</v>
      </c>
      <c r="E280" t="s">
        <v>13</v>
      </c>
      <c r="F280" t="s">
        <v>339</v>
      </c>
      <c r="G280" t="s">
        <v>14</v>
      </c>
    </row>
    <row r="281" spans="1:8" x14ac:dyDescent="0.35">
      <c r="A281" t="s">
        <v>328</v>
      </c>
      <c r="B281" t="s">
        <v>18</v>
      </c>
      <c r="C281" s="16" t="s">
        <v>343</v>
      </c>
      <c r="D281" t="s">
        <v>40</v>
      </c>
      <c r="E281" t="s">
        <v>17</v>
      </c>
      <c r="F281" t="s">
        <v>14</v>
      </c>
      <c r="G281" t="s">
        <v>265</v>
      </c>
      <c r="H281" t="s">
        <v>227</v>
      </c>
    </row>
    <row r="282" spans="1:8" x14ac:dyDescent="0.35">
      <c r="A282" t="s">
        <v>328</v>
      </c>
      <c r="B282" t="s">
        <v>18</v>
      </c>
      <c r="C282" s="16" t="s">
        <v>343</v>
      </c>
      <c r="D282" t="s">
        <v>29</v>
      </c>
      <c r="E282" t="s">
        <v>13</v>
      </c>
      <c r="F282" t="s">
        <v>340</v>
      </c>
      <c r="G282" t="s">
        <v>14</v>
      </c>
    </row>
    <row r="283" spans="1:8" x14ac:dyDescent="0.35">
      <c r="A283" t="s">
        <v>328</v>
      </c>
      <c r="B283" t="s">
        <v>18</v>
      </c>
      <c r="C283" s="16" t="s">
        <v>343</v>
      </c>
      <c r="D283" t="s">
        <v>320</v>
      </c>
      <c r="E283" t="s">
        <v>17</v>
      </c>
      <c r="F283" t="s">
        <v>14</v>
      </c>
      <c r="G283" t="s">
        <v>163</v>
      </c>
      <c r="H283" t="s">
        <v>227</v>
      </c>
    </row>
    <row r="284" spans="1:8" x14ac:dyDescent="0.35">
      <c r="A284" t="s">
        <v>328</v>
      </c>
      <c r="B284" t="s">
        <v>18</v>
      </c>
      <c r="C284" s="16" t="s">
        <v>343</v>
      </c>
      <c r="D284" t="s">
        <v>40</v>
      </c>
      <c r="E284" t="s">
        <v>17</v>
      </c>
      <c r="F284" t="s">
        <v>14</v>
      </c>
      <c r="G284" t="s">
        <v>341</v>
      </c>
      <c r="H284" t="s">
        <v>226</v>
      </c>
    </row>
    <row r="285" spans="1:8" x14ac:dyDescent="0.35">
      <c r="A285" t="s">
        <v>459</v>
      </c>
      <c r="B285" s="10" t="s">
        <v>283</v>
      </c>
      <c r="C285" s="16" t="s">
        <v>349</v>
      </c>
      <c r="D285" s="10" t="s">
        <v>269</v>
      </c>
      <c r="E285" s="10" t="s">
        <v>13</v>
      </c>
      <c r="F285" s="10">
        <v>1.45</v>
      </c>
      <c r="G285" s="10"/>
    </row>
    <row r="286" spans="1:8" x14ac:dyDescent="0.35">
      <c r="A286" t="s">
        <v>459</v>
      </c>
      <c r="B286" s="10" t="s">
        <v>283</v>
      </c>
      <c r="C286" s="16" t="s">
        <v>349</v>
      </c>
      <c r="D286" s="10" t="s">
        <v>191</v>
      </c>
      <c r="E286" s="10" t="s">
        <v>13</v>
      </c>
      <c r="F286" s="10">
        <v>0.52</v>
      </c>
      <c r="G286" s="10"/>
    </row>
    <row r="287" spans="1:8" x14ac:dyDescent="0.35">
      <c r="A287" t="s">
        <v>459</v>
      </c>
      <c r="B287" s="10" t="s">
        <v>283</v>
      </c>
      <c r="C287" s="16" t="s">
        <v>349</v>
      </c>
      <c r="D287" s="10" t="s">
        <v>347</v>
      </c>
      <c r="E287" s="10" t="s">
        <v>13</v>
      </c>
      <c r="F287" s="10">
        <v>3.34</v>
      </c>
      <c r="G287" s="10"/>
    </row>
    <row r="288" spans="1:8" x14ac:dyDescent="0.35">
      <c r="A288" t="s">
        <v>459</v>
      </c>
      <c r="B288" s="10" t="s">
        <v>283</v>
      </c>
      <c r="C288" s="16" t="s">
        <v>349</v>
      </c>
      <c r="D288" s="10" t="s">
        <v>294</v>
      </c>
      <c r="E288" s="10" t="s">
        <v>13</v>
      </c>
      <c r="F288" s="10">
        <v>1.39</v>
      </c>
      <c r="G288" s="10"/>
    </row>
    <row r="289" spans="1:8" x14ac:dyDescent="0.35">
      <c r="A289" t="s">
        <v>459</v>
      </c>
      <c r="B289" s="10" t="s">
        <v>283</v>
      </c>
      <c r="C289" s="16" t="s">
        <v>349</v>
      </c>
      <c r="D289" s="10" t="s">
        <v>348</v>
      </c>
      <c r="E289" s="10" t="s">
        <v>13</v>
      </c>
      <c r="F289" s="10">
        <v>2.2000000000000002</v>
      </c>
      <c r="G289" s="10"/>
    </row>
    <row r="290" spans="1:8" x14ac:dyDescent="0.35">
      <c r="A290" t="s">
        <v>459</v>
      </c>
      <c r="B290" s="10" t="s">
        <v>283</v>
      </c>
      <c r="C290" s="16" t="s">
        <v>349</v>
      </c>
      <c r="D290" s="10" t="s">
        <v>294</v>
      </c>
      <c r="E290" s="10" t="s">
        <v>17</v>
      </c>
      <c r="F290" s="10"/>
      <c r="G290" s="14" t="s">
        <v>218</v>
      </c>
      <c r="H290" t="s">
        <v>228</v>
      </c>
    </row>
    <row r="291" spans="1:8" ht="15.75" customHeight="1" x14ac:dyDescent="0.35">
      <c r="A291" t="s">
        <v>459</v>
      </c>
      <c r="B291" s="10" t="s">
        <v>18</v>
      </c>
      <c r="C291" s="16" t="s">
        <v>349</v>
      </c>
      <c r="D291" s="10" t="s">
        <v>350</v>
      </c>
      <c r="E291" s="10" t="s">
        <v>17</v>
      </c>
      <c r="F291" s="10">
        <v>0.36</v>
      </c>
      <c r="G291" s="14" t="s">
        <v>351</v>
      </c>
      <c r="H291" t="s">
        <v>231</v>
      </c>
    </row>
    <row r="292" spans="1:8" ht="15.75" customHeight="1" x14ac:dyDescent="0.35">
      <c r="A292" t="s">
        <v>459</v>
      </c>
      <c r="B292" s="10" t="s">
        <v>18</v>
      </c>
      <c r="C292" s="16" t="s">
        <v>349</v>
      </c>
      <c r="D292" s="10" t="s">
        <v>195</v>
      </c>
      <c r="E292" s="10" t="s">
        <v>17</v>
      </c>
      <c r="F292" s="10">
        <v>0.1</v>
      </c>
      <c r="G292" s="10" t="s">
        <v>352</v>
      </c>
      <c r="H292" t="s">
        <v>228</v>
      </c>
    </row>
    <row r="293" spans="1:8" ht="15.75" customHeight="1" x14ac:dyDescent="0.35">
      <c r="A293" t="s">
        <v>459</v>
      </c>
      <c r="B293" s="10" t="s">
        <v>18</v>
      </c>
      <c r="C293" s="16" t="s">
        <v>349</v>
      </c>
      <c r="D293" s="10" t="s">
        <v>174</v>
      </c>
      <c r="E293" s="10" t="s">
        <v>13</v>
      </c>
      <c r="F293" s="10">
        <v>2.46</v>
      </c>
      <c r="G293" s="14" t="s">
        <v>353</v>
      </c>
    </row>
    <row r="294" spans="1:8" x14ac:dyDescent="0.35">
      <c r="A294" t="s">
        <v>459</v>
      </c>
      <c r="B294" s="10" t="s">
        <v>18</v>
      </c>
      <c r="C294" s="16" t="s">
        <v>349</v>
      </c>
      <c r="D294" s="10" t="s">
        <v>354</v>
      </c>
      <c r="E294" s="10" t="s">
        <v>13</v>
      </c>
      <c r="F294" s="10">
        <v>2.17</v>
      </c>
      <c r="G294" s="14"/>
    </row>
    <row r="295" spans="1:8" ht="15.75" customHeight="1" x14ac:dyDescent="0.35">
      <c r="A295" t="s">
        <v>459</v>
      </c>
      <c r="B295" s="10" t="s">
        <v>18</v>
      </c>
      <c r="C295" s="16" t="s">
        <v>349</v>
      </c>
      <c r="D295" s="10" t="s">
        <v>138</v>
      </c>
      <c r="E295" s="10" t="s">
        <v>13</v>
      </c>
      <c r="F295" s="10">
        <v>3.99</v>
      </c>
      <c r="G295" s="14" t="s">
        <v>355</v>
      </c>
    </row>
    <row r="296" spans="1:8" x14ac:dyDescent="0.35">
      <c r="A296" t="s">
        <v>356</v>
      </c>
      <c r="B296" t="s">
        <v>10</v>
      </c>
      <c r="C296" s="12" t="s">
        <v>11</v>
      </c>
      <c r="D296" t="s">
        <v>110</v>
      </c>
      <c r="E296" t="s">
        <v>13</v>
      </c>
      <c r="F296" t="s">
        <v>357</v>
      </c>
      <c r="G296" t="s">
        <v>358</v>
      </c>
    </row>
    <row r="297" spans="1:8" x14ac:dyDescent="0.35">
      <c r="A297" t="s">
        <v>356</v>
      </c>
      <c r="B297" t="s">
        <v>10</v>
      </c>
      <c r="C297" s="12" t="s">
        <v>11</v>
      </c>
      <c r="D297" t="s">
        <v>33</v>
      </c>
      <c r="E297" t="s">
        <v>13</v>
      </c>
      <c r="F297" t="s">
        <v>359</v>
      </c>
      <c r="G297" t="s">
        <v>14</v>
      </c>
    </row>
    <row r="298" spans="1:8" x14ac:dyDescent="0.35">
      <c r="A298" t="s">
        <v>356</v>
      </c>
      <c r="B298" t="s">
        <v>10</v>
      </c>
      <c r="C298" s="12" t="s">
        <v>11</v>
      </c>
      <c r="D298" t="s">
        <v>114</v>
      </c>
      <c r="E298" t="s">
        <v>13</v>
      </c>
      <c r="F298" t="s">
        <v>360</v>
      </c>
      <c r="G298" t="s">
        <v>361</v>
      </c>
    </row>
    <row r="299" spans="1:8" x14ac:dyDescent="0.35">
      <c r="A299" t="s">
        <v>356</v>
      </c>
      <c r="B299" t="s">
        <v>10</v>
      </c>
      <c r="C299" s="12" t="s">
        <v>11</v>
      </c>
      <c r="D299" t="s">
        <v>37</v>
      </c>
      <c r="E299" t="s">
        <v>13</v>
      </c>
      <c r="F299" t="s">
        <v>362</v>
      </c>
      <c r="G299" t="s">
        <v>363</v>
      </c>
    </row>
    <row r="300" spans="1:8" x14ac:dyDescent="0.35">
      <c r="A300" t="s">
        <v>356</v>
      </c>
      <c r="B300" t="s">
        <v>10</v>
      </c>
      <c r="C300" s="12" t="s">
        <v>11</v>
      </c>
      <c r="D300" t="s">
        <v>364</v>
      </c>
      <c r="E300" t="s">
        <v>17</v>
      </c>
      <c r="F300" t="s">
        <v>14</v>
      </c>
      <c r="G300" t="s">
        <v>365</v>
      </c>
      <c r="H300" t="s">
        <v>231</v>
      </c>
    </row>
    <row r="301" spans="1:8" x14ac:dyDescent="0.35">
      <c r="A301" t="s">
        <v>356</v>
      </c>
      <c r="B301" t="s">
        <v>18</v>
      </c>
      <c r="C301" s="12" t="s">
        <v>11</v>
      </c>
      <c r="D301" t="s">
        <v>40</v>
      </c>
      <c r="E301" t="s">
        <v>13</v>
      </c>
      <c r="F301" t="s">
        <v>366</v>
      </c>
      <c r="G301" t="s">
        <v>14</v>
      </c>
    </row>
    <row r="302" spans="1:8" x14ac:dyDescent="0.35">
      <c r="A302" t="s">
        <v>356</v>
      </c>
      <c r="B302" t="s">
        <v>18</v>
      </c>
      <c r="C302" s="12" t="s">
        <v>11</v>
      </c>
      <c r="D302" t="s">
        <v>28</v>
      </c>
      <c r="E302" t="s">
        <v>17</v>
      </c>
      <c r="F302" t="s">
        <v>14</v>
      </c>
      <c r="G302" t="s">
        <v>163</v>
      </c>
      <c r="H302" t="s">
        <v>227</v>
      </c>
    </row>
    <row r="303" spans="1:8" x14ac:dyDescent="0.35">
      <c r="A303" t="s">
        <v>356</v>
      </c>
      <c r="B303" t="s">
        <v>18</v>
      </c>
      <c r="C303" s="12" t="s">
        <v>11</v>
      </c>
      <c r="D303" t="s">
        <v>24</v>
      </c>
      <c r="E303" t="s">
        <v>13</v>
      </c>
      <c r="F303" t="s">
        <v>367</v>
      </c>
      <c r="G303" t="s">
        <v>14</v>
      </c>
    </row>
    <row r="304" spans="1:8" x14ac:dyDescent="0.35">
      <c r="A304" t="s">
        <v>356</v>
      </c>
      <c r="B304" t="s">
        <v>18</v>
      </c>
      <c r="C304" s="12" t="s">
        <v>11</v>
      </c>
      <c r="D304" t="s">
        <v>29</v>
      </c>
      <c r="E304" t="s">
        <v>13</v>
      </c>
      <c r="F304" t="s">
        <v>368</v>
      </c>
      <c r="G304" t="s">
        <v>14</v>
      </c>
    </row>
    <row r="305" spans="1:8" x14ac:dyDescent="0.35">
      <c r="A305" t="s">
        <v>356</v>
      </c>
      <c r="B305" t="s">
        <v>18</v>
      </c>
      <c r="C305" s="12" t="s">
        <v>11</v>
      </c>
      <c r="D305" t="s">
        <v>15</v>
      </c>
      <c r="E305" t="s">
        <v>13</v>
      </c>
      <c r="F305" t="s">
        <v>369</v>
      </c>
      <c r="G305" t="s">
        <v>14</v>
      </c>
    </row>
    <row r="306" spans="1:8" x14ac:dyDescent="0.35">
      <c r="A306" t="s">
        <v>457</v>
      </c>
      <c r="B306" s="10" t="s">
        <v>18</v>
      </c>
      <c r="C306" s="12" t="s">
        <v>372</v>
      </c>
      <c r="D306" s="10" t="s">
        <v>213</v>
      </c>
      <c r="E306" s="10" t="s">
        <v>13</v>
      </c>
      <c r="F306" s="10">
        <v>2.99</v>
      </c>
      <c r="G306" s="10"/>
    </row>
    <row r="307" spans="1:8" x14ac:dyDescent="0.35">
      <c r="A307" t="s">
        <v>457</v>
      </c>
      <c r="B307" s="10" t="s">
        <v>18</v>
      </c>
      <c r="C307" s="12" t="s">
        <v>372</v>
      </c>
      <c r="D307" s="10" t="s">
        <v>204</v>
      </c>
      <c r="E307" s="10" t="s">
        <v>13</v>
      </c>
      <c r="F307" s="10">
        <v>7.58</v>
      </c>
      <c r="G307" s="10"/>
    </row>
    <row r="308" spans="1:8" ht="15.75" customHeight="1" x14ac:dyDescent="0.35">
      <c r="A308" t="s">
        <v>457</v>
      </c>
      <c r="B308" s="10" t="s">
        <v>18</v>
      </c>
      <c r="C308" s="12" t="s">
        <v>372</v>
      </c>
      <c r="D308" s="10" t="s">
        <v>133</v>
      </c>
      <c r="E308" s="10" t="s">
        <v>17</v>
      </c>
      <c r="F308" s="10">
        <v>0.66</v>
      </c>
      <c r="G308" s="10" t="s">
        <v>373</v>
      </c>
      <c r="H308" t="s">
        <v>228</v>
      </c>
    </row>
    <row r="309" spans="1:8" x14ac:dyDescent="0.35">
      <c r="A309" t="s">
        <v>457</v>
      </c>
      <c r="B309" s="10" t="s">
        <v>18</v>
      </c>
      <c r="C309" s="12" t="s">
        <v>372</v>
      </c>
      <c r="D309" s="10" t="s">
        <v>134</v>
      </c>
      <c r="E309" s="10" t="s">
        <v>13</v>
      </c>
      <c r="F309" s="10">
        <v>1.78</v>
      </c>
      <c r="G309" s="10"/>
    </row>
    <row r="310" spans="1:8" x14ac:dyDescent="0.35">
      <c r="A310" t="s">
        <v>457</v>
      </c>
      <c r="B310" s="10" t="s">
        <v>10</v>
      </c>
      <c r="C310" s="12" t="s">
        <v>372</v>
      </c>
      <c r="D310" s="10" t="s">
        <v>219</v>
      </c>
      <c r="E310" s="10" t="s">
        <v>13</v>
      </c>
      <c r="F310" s="10">
        <v>3.22</v>
      </c>
      <c r="G310" s="10"/>
    </row>
    <row r="311" spans="1:8" x14ac:dyDescent="0.35">
      <c r="A311" t="s">
        <v>457</v>
      </c>
      <c r="B311" s="10" t="s">
        <v>10</v>
      </c>
      <c r="C311" s="12" t="s">
        <v>372</v>
      </c>
      <c r="D311" s="10" t="s">
        <v>374</v>
      </c>
      <c r="E311" s="10" t="s">
        <v>13</v>
      </c>
      <c r="F311" s="10">
        <v>2.78</v>
      </c>
      <c r="G311" s="10"/>
    </row>
    <row r="312" spans="1:8" x14ac:dyDescent="0.35">
      <c r="A312" t="s">
        <v>457</v>
      </c>
      <c r="B312" s="10" t="s">
        <v>375</v>
      </c>
      <c r="C312" s="12" t="s">
        <v>372</v>
      </c>
      <c r="D312" s="10">
        <v>4</v>
      </c>
      <c r="E312" s="10" t="s">
        <v>17</v>
      </c>
      <c r="F312" s="10"/>
      <c r="G312" s="10" t="s">
        <v>218</v>
      </c>
      <c r="H312" t="s">
        <v>228</v>
      </c>
    </row>
    <row r="313" spans="1:8" x14ac:dyDescent="0.35">
      <c r="A313" t="s">
        <v>458</v>
      </c>
      <c r="B313" s="10" t="s">
        <v>375</v>
      </c>
      <c r="C313" s="13" t="s">
        <v>384</v>
      </c>
      <c r="D313" s="10" t="s">
        <v>376</v>
      </c>
      <c r="E313" s="10" t="s">
        <v>13</v>
      </c>
      <c r="F313" s="10">
        <v>3.48</v>
      </c>
      <c r="G313" s="10"/>
    </row>
    <row r="314" spans="1:8" x14ac:dyDescent="0.35">
      <c r="A314" t="s">
        <v>458</v>
      </c>
      <c r="B314" s="10" t="s">
        <v>375</v>
      </c>
      <c r="C314" s="13" t="s">
        <v>384</v>
      </c>
      <c r="D314" s="10" t="s">
        <v>377</v>
      </c>
      <c r="E314" s="10" t="s">
        <v>17</v>
      </c>
      <c r="F314" s="10"/>
      <c r="G314" s="10" t="s">
        <v>378</v>
      </c>
      <c r="H314" t="s">
        <v>228</v>
      </c>
    </row>
    <row r="315" spans="1:8" x14ac:dyDescent="0.35">
      <c r="A315" t="s">
        <v>458</v>
      </c>
      <c r="B315" s="10" t="s">
        <v>375</v>
      </c>
      <c r="C315" s="13" t="s">
        <v>384</v>
      </c>
      <c r="D315" s="10" t="s">
        <v>379</v>
      </c>
      <c r="E315" s="10" t="s">
        <v>17</v>
      </c>
      <c r="F315" s="10"/>
      <c r="G315" s="10" t="s">
        <v>380</v>
      </c>
      <c r="H315" t="s">
        <v>231</v>
      </c>
    </row>
    <row r="316" spans="1:8" x14ac:dyDescent="0.35">
      <c r="A316" t="s">
        <v>458</v>
      </c>
      <c r="B316" s="10" t="s">
        <v>375</v>
      </c>
      <c r="C316" s="13" t="s">
        <v>384</v>
      </c>
      <c r="D316" s="10" t="s">
        <v>381</v>
      </c>
      <c r="E316" s="10" t="s">
        <v>13</v>
      </c>
      <c r="F316" s="10">
        <v>5.32</v>
      </c>
      <c r="G316" s="10"/>
    </row>
    <row r="317" spans="1:8" x14ac:dyDescent="0.35">
      <c r="A317" t="s">
        <v>458</v>
      </c>
      <c r="B317" s="10" t="s">
        <v>375</v>
      </c>
      <c r="C317" s="13" t="s">
        <v>384</v>
      </c>
      <c r="D317" s="10" t="s">
        <v>377</v>
      </c>
      <c r="E317" s="10" t="s">
        <v>13</v>
      </c>
      <c r="F317" s="10">
        <v>1.52</v>
      </c>
      <c r="G317" s="10"/>
    </row>
    <row r="318" spans="1:8" ht="15.75" customHeight="1" x14ac:dyDescent="0.35">
      <c r="A318" t="s">
        <v>458</v>
      </c>
      <c r="B318" s="10" t="s">
        <v>375</v>
      </c>
      <c r="C318" s="13" t="s">
        <v>384</v>
      </c>
      <c r="D318" s="10" t="s">
        <v>195</v>
      </c>
      <c r="E318" s="10" t="s">
        <v>17</v>
      </c>
      <c r="F318" s="10"/>
      <c r="G318" s="10" t="s">
        <v>382</v>
      </c>
      <c r="H318" t="s">
        <v>228</v>
      </c>
    </row>
    <row r="319" spans="1:8" x14ac:dyDescent="0.35">
      <c r="A319" t="s">
        <v>458</v>
      </c>
      <c r="B319" s="10" t="s">
        <v>375</v>
      </c>
      <c r="C319" s="13" t="s">
        <v>384</v>
      </c>
      <c r="D319" s="10" t="s">
        <v>174</v>
      </c>
      <c r="E319" s="10" t="s">
        <v>13</v>
      </c>
      <c r="F319" s="10">
        <v>3.74</v>
      </c>
      <c r="G319" s="10"/>
    </row>
    <row r="320" spans="1:8" ht="15.75" customHeight="1" x14ac:dyDescent="0.35">
      <c r="A320" t="s">
        <v>458</v>
      </c>
      <c r="B320" s="10" t="s">
        <v>18</v>
      </c>
      <c r="C320" s="13" t="s">
        <v>384</v>
      </c>
      <c r="D320" s="10" t="s">
        <v>138</v>
      </c>
      <c r="E320" s="10" t="s">
        <v>13</v>
      </c>
      <c r="F320" s="10">
        <v>0.87</v>
      </c>
      <c r="G320" s="10" t="s">
        <v>383</v>
      </c>
    </row>
    <row r="321" spans="1:8" x14ac:dyDescent="0.35">
      <c r="A321" t="s">
        <v>458</v>
      </c>
      <c r="B321" s="10" t="s">
        <v>18</v>
      </c>
      <c r="C321" s="13" t="s">
        <v>384</v>
      </c>
      <c r="D321" s="10" t="s">
        <v>137</v>
      </c>
      <c r="E321" s="10" t="s">
        <v>13</v>
      </c>
      <c r="F321" s="10">
        <v>2.66</v>
      </c>
      <c r="G321" s="10"/>
    </row>
    <row r="322" spans="1:8" x14ac:dyDescent="0.35">
      <c r="A322" t="s">
        <v>458</v>
      </c>
      <c r="B322" s="10" t="s">
        <v>10</v>
      </c>
      <c r="C322" s="13" t="s">
        <v>384</v>
      </c>
      <c r="D322" s="10" t="s">
        <v>379</v>
      </c>
      <c r="E322" s="10" t="s">
        <v>13</v>
      </c>
      <c r="F322" s="10">
        <v>1.07</v>
      </c>
      <c r="G322" s="10"/>
    </row>
    <row r="323" spans="1:8" x14ac:dyDescent="0.35">
      <c r="A323" t="s">
        <v>385</v>
      </c>
      <c r="B323" t="s">
        <v>10</v>
      </c>
      <c r="C323" s="12" t="s">
        <v>11</v>
      </c>
      <c r="D323" t="s">
        <v>36</v>
      </c>
      <c r="E323" t="s">
        <v>13</v>
      </c>
      <c r="F323" t="s">
        <v>386</v>
      </c>
      <c r="G323" t="s">
        <v>14</v>
      </c>
    </row>
    <row r="324" spans="1:8" x14ac:dyDescent="0.35">
      <c r="A324" t="s">
        <v>385</v>
      </c>
      <c r="B324" t="s">
        <v>10</v>
      </c>
      <c r="C324" s="12" t="s">
        <v>11</v>
      </c>
      <c r="D324" t="s">
        <v>33</v>
      </c>
      <c r="E324" t="s">
        <v>17</v>
      </c>
      <c r="F324" t="s">
        <v>14</v>
      </c>
      <c r="G324" t="s">
        <v>387</v>
      </c>
      <c r="H324" t="s">
        <v>227</v>
      </c>
    </row>
    <row r="325" spans="1:8" x14ac:dyDescent="0.35">
      <c r="A325" t="s">
        <v>385</v>
      </c>
      <c r="B325" t="s">
        <v>375</v>
      </c>
      <c r="C325" s="12" t="s">
        <v>11</v>
      </c>
      <c r="D325" t="s">
        <v>23</v>
      </c>
      <c r="E325" t="s">
        <v>13</v>
      </c>
      <c r="F325" t="s">
        <v>388</v>
      </c>
      <c r="G325" t="s">
        <v>14</v>
      </c>
    </row>
    <row r="326" spans="1:8" x14ac:dyDescent="0.35">
      <c r="A326" t="s">
        <v>385</v>
      </c>
      <c r="B326" t="s">
        <v>18</v>
      </c>
      <c r="C326" s="12" t="s">
        <v>11</v>
      </c>
      <c r="D326" t="s">
        <v>289</v>
      </c>
      <c r="E326" t="s">
        <v>17</v>
      </c>
      <c r="F326" t="s">
        <v>14</v>
      </c>
      <c r="G326" t="s">
        <v>389</v>
      </c>
      <c r="H326" t="s">
        <v>230</v>
      </c>
    </row>
    <row r="327" spans="1:8" x14ac:dyDescent="0.35">
      <c r="A327" t="s">
        <v>385</v>
      </c>
      <c r="B327" t="s">
        <v>18</v>
      </c>
      <c r="C327" s="12" t="s">
        <v>11</v>
      </c>
      <c r="D327" t="s">
        <v>40</v>
      </c>
      <c r="E327" t="s">
        <v>17</v>
      </c>
      <c r="F327" t="s">
        <v>14</v>
      </c>
      <c r="G327" t="s">
        <v>163</v>
      </c>
      <c r="H327" t="s">
        <v>227</v>
      </c>
    </row>
    <row r="328" spans="1:8" x14ac:dyDescent="0.35">
      <c r="A328" t="s">
        <v>385</v>
      </c>
      <c r="B328" t="s">
        <v>18</v>
      </c>
      <c r="C328" s="12" t="s">
        <v>11</v>
      </c>
      <c r="D328" t="s">
        <v>15</v>
      </c>
      <c r="E328" t="s">
        <v>13</v>
      </c>
      <c r="F328" t="s">
        <v>390</v>
      </c>
      <c r="G328" t="s">
        <v>14</v>
      </c>
    </row>
    <row r="329" spans="1:8" x14ac:dyDescent="0.35">
      <c r="A329" t="s">
        <v>385</v>
      </c>
      <c r="B329" t="s">
        <v>18</v>
      </c>
      <c r="C329" s="12" t="s">
        <v>11</v>
      </c>
      <c r="D329" t="s">
        <v>29</v>
      </c>
      <c r="E329" t="s">
        <v>13</v>
      </c>
      <c r="F329" t="s">
        <v>391</v>
      </c>
      <c r="G329" t="s">
        <v>14</v>
      </c>
    </row>
    <row r="330" spans="1:8" x14ac:dyDescent="0.35">
      <c r="A330" t="s">
        <v>394</v>
      </c>
      <c r="B330" t="s">
        <v>10</v>
      </c>
      <c r="C330" s="12" t="s">
        <v>11</v>
      </c>
      <c r="D330" t="s">
        <v>94</v>
      </c>
      <c r="E330" t="s">
        <v>17</v>
      </c>
      <c r="F330" t="s">
        <v>14</v>
      </c>
      <c r="G330" t="s">
        <v>163</v>
      </c>
      <c r="H330" t="s">
        <v>227</v>
      </c>
    </row>
    <row r="331" spans="1:8" x14ac:dyDescent="0.35">
      <c r="A331" t="s">
        <v>394</v>
      </c>
      <c r="B331" t="s">
        <v>10</v>
      </c>
      <c r="C331" s="12" t="s">
        <v>11</v>
      </c>
      <c r="D331" t="s">
        <v>36</v>
      </c>
      <c r="E331" t="s">
        <v>13</v>
      </c>
      <c r="F331" t="s">
        <v>395</v>
      </c>
      <c r="G331" t="s">
        <v>396</v>
      </c>
    </row>
    <row r="332" spans="1:8" x14ac:dyDescent="0.35">
      <c r="A332" t="s">
        <v>394</v>
      </c>
      <c r="B332" t="s">
        <v>10</v>
      </c>
      <c r="C332" s="12" t="s">
        <v>11</v>
      </c>
      <c r="D332" t="s">
        <v>94</v>
      </c>
      <c r="E332" t="s">
        <v>13</v>
      </c>
      <c r="F332" t="s">
        <v>397</v>
      </c>
      <c r="G332" t="s">
        <v>14</v>
      </c>
    </row>
    <row r="333" spans="1:8" x14ac:dyDescent="0.35">
      <c r="A333" t="s">
        <v>394</v>
      </c>
      <c r="B333" t="s">
        <v>10</v>
      </c>
      <c r="C333" s="12" t="s">
        <v>11</v>
      </c>
      <c r="D333" t="s">
        <v>33</v>
      </c>
      <c r="E333" t="s">
        <v>13</v>
      </c>
      <c r="F333" t="s">
        <v>398</v>
      </c>
      <c r="G333" t="s">
        <v>14</v>
      </c>
    </row>
    <row r="334" spans="1:8" x14ac:dyDescent="0.35">
      <c r="A334" t="s">
        <v>394</v>
      </c>
      <c r="B334" t="s">
        <v>375</v>
      </c>
      <c r="C334" s="12" t="s">
        <v>11</v>
      </c>
      <c r="D334" t="s">
        <v>376</v>
      </c>
      <c r="E334" t="s">
        <v>13</v>
      </c>
      <c r="F334" t="s">
        <v>399</v>
      </c>
      <c r="G334" t="s">
        <v>14</v>
      </c>
    </row>
    <row r="335" spans="1:8" x14ac:dyDescent="0.35">
      <c r="A335" t="s">
        <v>394</v>
      </c>
      <c r="B335" t="s">
        <v>375</v>
      </c>
      <c r="C335" s="12" t="s">
        <v>11</v>
      </c>
      <c r="D335" t="s">
        <v>400</v>
      </c>
      <c r="E335" t="s">
        <v>13</v>
      </c>
      <c r="F335" t="s">
        <v>401</v>
      </c>
      <c r="G335" t="s">
        <v>14</v>
      </c>
    </row>
    <row r="336" spans="1:8" x14ac:dyDescent="0.35">
      <c r="A336" t="s">
        <v>394</v>
      </c>
      <c r="B336" t="s">
        <v>18</v>
      </c>
      <c r="C336" s="12" t="s">
        <v>11</v>
      </c>
      <c r="D336" t="s">
        <v>40</v>
      </c>
      <c r="E336" t="s">
        <v>17</v>
      </c>
      <c r="F336" t="s">
        <v>14</v>
      </c>
      <c r="G336" t="s">
        <v>163</v>
      </c>
      <c r="H336" t="s">
        <v>227</v>
      </c>
    </row>
    <row r="337" spans="1:7" x14ac:dyDescent="0.35">
      <c r="A337" t="s">
        <v>394</v>
      </c>
      <c r="B337" t="s">
        <v>18</v>
      </c>
      <c r="C337" s="12" t="s">
        <v>11</v>
      </c>
      <c r="D337" t="s">
        <v>96</v>
      </c>
      <c r="E337" t="s">
        <v>13</v>
      </c>
      <c r="F337" t="s">
        <v>402</v>
      </c>
      <c r="G337" t="s">
        <v>14</v>
      </c>
    </row>
    <row r="338" spans="1:7" x14ac:dyDescent="0.35">
      <c r="A338" t="s">
        <v>394</v>
      </c>
      <c r="B338" t="s">
        <v>18</v>
      </c>
      <c r="C338" s="12" t="s">
        <v>11</v>
      </c>
      <c r="D338" t="s">
        <v>15</v>
      </c>
      <c r="E338" t="s">
        <v>13</v>
      </c>
      <c r="F338" t="s">
        <v>403</v>
      </c>
      <c r="G338" t="s">
        <v>14</v>
      </c>
    </row>
    <row r="339" spans="1:7" x14ac:dyDescent="0.35">
      <c r="A339" t="s">
        <v>394</v>
      </c>
      <c r="B339" t="s">
        <v>18</v>
      </c>
      <c r="C339" s="12" t="s">
        <v>11</v>
      </c>
      <c r="D339" t="s">
        <v>29</v>
      </c>
      <c r="E339" t="s">
        <v>13</v>
      </c>
      <c r="F339">
        <v>12</v>
      </c>
    </row>
    <row r="340" spans="1:7" x14ac:dyDescent="0.35">
      <c r="A340" t="s">
        <v>394</v>
      </c>
      <c r="B340" t="s">
        <v>18</v>
      </c>
      <c r="C340" s="12" t="s">
        <v>11</v>
      </c>
      <c r="D340" t="s">
        <v>40</v>
      </c>
      <c r="E340" t="s">
        <v>13</v>
      </c>
      <c r="F340" t="s">
        <v>404</v>
      </c>
      <c r="G340" t="s">
        <v>14</v>
      </c>
    </row>
    <row r="341" spans="1:7" x14ac:dyDescent="0.35">
      <c r="A341" t="s">
        <v>394</v>
      </c>
      <c r="B341" t="s">
        <v>10</v>
      </c>
      <c r="C341" s="12" t="s">
        <v>11</v>
      </c>
      <c r="D341" t="s">
        <v>19</v>
      </c>
      <c r="E341" t="s">
        <v>13</v>
      </c>
      <c r="F341" t="s">
        <v>405</v>
      </c>
      <c r="G341" t="s">
        <v>14</v>
      </c>
    </row>
    <row r="342" spans="1:7" x14ac:dyDescent="0.35">
      <c r="A342" t="s">
        <v>409</v>
      </c>
      <c r="B342" t="s">
        <v>10</v>
      </c>
      <c r="C342" s="12" t="s">
        <v>343</v>
      </c>
      <c r="D342" t="s">
        <v>19</v>
      </c>
      <c r="E342" t="s">
        <v>13</v>
      </c>
      <c r="F342" t="s">
        <v>151</v>
      </c>
      <c r="G342" t="s">
        <v>14</v>
      </c>
    </row>
    <row r="343" spans="1:7" x14ac:dyDescent="0.35">
      <c r="A343" t="s">
        <v>409</v>
      </c>
      <c r="B343" t="s">
        <v>10</v>
      </c>
      <c r="C343" s="12" t="s">
        <v>343</v>
      </c>
      <c r="D343" t="s">
        <v>110</v>
      </c>
      <c r="E343" t="s">
        <v>13</v>
      </c>
      <c r="F343" t="s">
        <v>410</v>
      </c>
      <c r="G343" t="s">
        <v>411</v>
      </c>
    </row>
    <row r="344" spans="1:7" x14ac:dyDescent="0.35">
      <c r="A344" t="s">
        <v>409</v>
      </c>
      <c r="B344" t="s">
        <v>10</v>
      </c>
      <c r="C344" s="12" t="s">
        <v>343</v>
      </c>
      <c r="D344" t="s">
        <v>33</v>
      </c>
      <c r="E344" t="s">
        <v>13</v>
      </c>
      <c r="F344" t="s">
        <v>412</v>
      </c>
      <c r="G344" t="s">
        <v>14</v>
      </c>
    </row>
    <row r="345" spans="1:7" x14ac:dyDescent="0.35">
      <c r="A345" t="s">
        <v>409</v>
      </c>
      <c r="B345" t="s">
        <v>10</v>
      </c>
      <c r="C345" s="12" t="s">
        <v>343</v>
      </c>
      <c r="D345" t="s">
        <v>114</v>
      </c>
      <c r="E345" t="s">
        <v>17</v>
      </c>
      <c r="F345" t="s">
        <v>14</v>
      </c>
      <c r="G345" t="s">
        <v>163</v>
      </c>
    </row>
    <row r="346" spans="1:7" x14ac:dyDescent="0.35">
      <c r="A346" t="s">
        <v>409</v>
      </c>
      <c r="B346" t="s">
        <v>10</v>
      </c>
      <c r="C346" s="12" t="s">
        <v>343</v>
      </c>
      <c r="D346" t="s">
        <v>36</v>
      </c>
      <c r="E346" t="s">
        <v>17</v>
      </c>
      <c r="F346" t="s">
        <v>14</v>
      </c>
      <c r="G346" t="s">
        <v>163</v>
      </c>
    </row>
    <row r="347" spans="1:7" x14ac:dyDescent="0.35">
      <c r="A347" t="s">
        <v>409</v>
      </c>
      <c r="B347" t="s">
        <v>375</v>
      </c>
      <c r="C347" s="12" t="s">
        <v>343</v>
      </c>
      <c r="D347" t="s">
        <v>33</v>
      </c>
      <c r="E347" t="s">
        <v>17</v>
      </c>
      <c r="F347" t="s">
        <v>14</v>
      </c>
      <c r="G347" t="s">
        <v>413</v>
      </c>
    </row>
    <row r="348" spans="1:7" x14ac:dyDescent="0.35">
      <c r="A348" t="s">
        <v>409</v>
      </c>
      <c r="B348" t="s">
        <v>18</v>
      </c>
      <c r="C348" s="12" t="s">
        <v>343</v>
      </c>
      <c r="D348" t="s">
        <v>289</v>
      </c>
      <c r="E348" t="s">
        <v>17</v>
      </c>
      <c r="F348" t="s">
        <v>14</v>
      </c>
      <c r="G348" t="s">
        <v>414</v>
      </c>
    </row>
    <row r="349" spans="1:7" x14ac:dyDescent="0.35">
      <c r="A349" t="s">
        <v>409</v>
      </c>
      <c r="B349" t="s">
        <v>18</v>
      </c>
      <c r="C349" s="12" t="s">
        <v>343</v>
      </c>
      <c r="D349" t="s">
        <v>40</v>
      </c>
      <c r="E349" t="s">
        <v>13</v>
      </c>
      <c r="F349">
        <v>20</v>
      </c>
    </row>
    <row r="350" spans="1:7" x14ac:dyDescent="0.35">
      <c r="A350" t="s">
        <v>409</v>
      </c>
      <c r="B350" t="s">
        <v>18</v>
      </c>
      <c r="C350" s="12" t="s">
        <v>343</v>
      </c>
      <c r="D350" t="s">
        <v>15</v>
      </c>
      <c r="E350" t="s">
        <v>17</v>
      </c>
      <c r="F350" t="s">
        <v>14</v>
      </c>
      <c r="G350" t="s">
        <v>188</v>
      </c>
    </row>
    <row r="351" spans="1:7" x14ac:dyDescent="0.35">
      <c r="A351" t="s">
        <v>409</v>
      </c>
      <c r="B351" t="s">
        <v>18</v>
      </c>
      <c r="C351" s="12" t="s">
        <v>343</v>
      </c>
      <c r="D351" t="s">
        <v>29</v>
      </c>
      <c r="E351" t="s">
        <v>13</v>
      </c>
      <c r="F351" t="s">
        <v>415</v>
      </c>
      <c r="G351" t="s">
        <v>14</v>
      </c>
    </row>
    <row r="352" spans="1:7" x14ac:dyDescent="0.35">
      <c r="A352" t="s">
        <v>409</v>
      </c>
      <c r="B352" t="s">
        <v>18</v>
      </c>
      <c r="C352" s="12" t="s">
        <v>343</v>
      </c>
      <c r="D352" t="s">
        <v>15</v>
      </c>
      <c r="E352" t="s">
        <v>13</v>
      </c>
      <c r="F352" t="s">
        <v>416</v>
      </c>
      <c r="G352" t="s">
        <v>14</v>
      </c>
    </row>
    <row r="353" spans="1:8" x14ac:dyDescent="0.35">
      <c r="A353" t="s">
        <v>409</v>
      </c>
      <c r="B353" t="s">
        <v>10</v>
      </c>
      <c r="C353" s="12" t="s">
        <v>343</v>
      </c>
      <c r="D353" t="s">
        <v>94</v>
      </c>
      <c r="E353" t="s">
        <v>17</v>
      </c>
      <c r="F353" t="s">
        <v>14</v>
      </c>
      <c r="G353" t="s">
        <v>417</v>
      </c>
    </row>
    <row r="354" spans="1:8" x14ac:dyDescent="0.35">
      <c r="A354" t="s">
        <v>409</v>
      </c>
      <c r="B354" t="s">
        <v>10</v>
      </c>
      <c r="C354" s="12" t="s">
        <v>343</v>
      </c>
      <c r="D354" t="s">
        <v>36</v>
      </c>
      <c r="E354" t="s">
        <v>13</v>
      </c>
      <c r="F354" t="s">
        <v>418</v>
      </c>
      <c r="G354" t="s">
        <v>14</v>
      </c>
    </row>
    <row r="355" spans="1:8" x14ac:dyDescent="0.35">
      <c r="A355" t="s">
        <v>422</v>
      </c>
      <c r="B355" t="s">
        <v>10</v>
      </c>
      <c r="C355" s="12" t="s">
        <v>343</v>
      </c>
      <c r="D355" t="s">
        <v>110</v>
      </c>
      <c r="E355" t="s">
        <v>13</v>
      </c>
      <c r="F355" t="s">
        <v>423</v>
      </c>
      <c r="G355" t="s">
        <v>100</v>
      </c>
    </row>
    <row r="356" spans="1:8" x14ac:dyDescent="0.35">
      <c r="A356" t="s">
        <v>422</v>
      </c>
      <c r="B356" t="s">
        <v>10</v>
      </c>
      <c r="C356" s="12" t="s">
        <v>343</v>
      </c>
      <c r="D356" t="s">
        <v>36</v>
      </c>
      <c r="E356" t="s">
        <v>13</v>
      </c>
      <c r="F356" t="s">
        <v>144</v>
      </c>
      <c r="G356" t="s">
        <v>424</v>
      </c>
    </row>
    <row r="357" spans="1:8" x14ac:dyDescent="0.35">
      <c r="A357" t="s">
        <v>422</v>
      </c>
      <c r="B357" t="s">
        <v>10</v>
      </c>
      <c r="C357" s="12" t="s">
        <v>343</v>
      </c>
      <c r="D357" t="s">
        <v>94</v>
      </c>
      <c r="E357" t="s">
        <v>13</v>
      </c>
      <c r="F357" t="s">
        <v>425</v>
      </c>
      <c r="G357" t="s">
        <v>14</v>
      </c>
    </row>
    <row r="358" spans="1:8" x14ac:dyDescent="0.35">
      <c r="A358" t="s">
        <v>422</v>
      </c>
      <c r="B358" t="s">
        <v>10</v>
      </c>
      <c r="C358" s="12" t="s">
        <v>343</v>
      </c>
      <c r="D358" t="s">
        <v>33</v>
      </c>
      <c r="E358" t="s">
        <v>13</v>
      </c>
      <c r="F358" t="s">
        <v>426</v>
      </c>
      <c r="G358" t="s">
        <v>14</v>
      </c>
    </row>
    <row r="359" spans="1:8" x14ac:dyDescent="0.35">
      <c r="A359" t="s">
        <v>422</v>
      </c>
      <c r="B359" t="s">
        <v>10</v>
      </c>
      <c r="C359" s="12" t="s">
        <v>343</v>
      </c>
      <c r="D359" t="s">
        <v>114</v>
      </c>
      <c r="E359" t="s">
        <v>13</v>
      </c>
      <c r="F359" t="s">
        <v>359</v>
      </c>
      <c r="G359" t="s">
        <v>14</v>
      </c>
    </row>
    <row r="360" spans="1:8" x14ac:dyDescent="0.35">
      <c r="A360" t="s">
        <v>422</v>
      </c>
      <c r="B360" t="s">
        <v>375</v>
      </c>
      <c r="C360" s="12" t="s">
        <v>343</v>
      </c>
      <c r="D360" t="s">
        <v>33</v>
      </c>
      <c r="E360" t="s">
        <v>17</v>
      </c>
      <c r="F360" t="s">
        <v>14</v>
      </c>
      <c r="G360" t="s">
        <v>427</v>
      </c>
      <c r="H360" t="s">
        <v>226</v>
      </c>
    </row>
    <row r="361" spans="1:8" x14ac:dyDescent="0.35">
      <c r="A361" t="s">
        <v>422</v>
      </c>
      <c r="B361" t="s">
        <v>375</v>
      </c>
      <c r="C361" s="12" t="s">
        <v>343</v>
      </c>
      <c r="D361" t="s">
        <v>36</v>
      </c>
      <c r="E361" t="s">
        <v>17</v>
      </c>
      <c r="F361" t="s">
        <v>14</v>
      </c>
      <c r="G361" t="s">
        <v>163</v>
      </c>
      <c r="H361" t="s">
        <v>227</v>
      </c>
    </row>
    <row r="362" spans="1:8" x14ac:dyDescent="0.35">
      <c r="A362" t="s">
        <v>422</v>
      </c>
      <c r="B362" t="s">
        <v>375</v>
      </c>
      <c r="C362" s="12" t="s">
        <v>343</v>
      </c>
      <c r="D362" t="s">
        <v>110</v>
      </c>
      <c r="E362" t="s">
        <v>17</v>
      </c>
      <c r="F362" t="s">
        <v>14</v>
      </c>
      <c r="G362" t="s">
        <v>428</v>
      </c>
      <c r="H362" t="s">
        <v>231</v>
      </c>
    </row>
    <row r="363" spans="1:8" x14ac:dyDescent="0.35">
      <c r="A363" t="s">
        <v>422</v>
      </c>
      <c r="B363" t="s">
        <v>18</v>
      </c>
      <c r="C363" s="12" t="s">
        <v>343</v>
      </c>
      <c r="D363" t="s">
        <v>40</v>
      </c>
      <c r="E363" t="s">
        <v>17</v>
      </c>
      <c r="F363" t="s">
        <v>14</v>
      </c>
      <c r="G363" t="s">
        <v>163</v>
      </c>
      <c r="H363" t="s">
        <v>227</v>
      </c>
    </row>
    <row r="364" spans="1:8" x14ac:dyDescent="0.35">
      <c r="A364" t="s">
        <v>422</v>
      </c>
      <c r="B364" t="s">
        <v>18</v>
      </c>
      <c r="C364" s="12" t="s">
        <v>343</v>
      </c>
      <c r="D364" t="s">
        <v>12</v>
      </c>
      <c r="E364" t="s">
        <v>13</v>
      </c>
      <c r="F364" t="s">
        <v>429</v>
      </c>
      <c r="G364" t="s">
        <v>14</v>
      </c>
    </row>
    <row r="365" spans="1:8" x14ac:dyDescent="0.35">
      <c r="A365" t="s">
        <v>422</v>
      </c>
      <c r="B365" t="s">
        <v>18</v>
      </c>
      <c r="C365" s="12" t="s">
        <v>343</v>
      </c>
      <c r="D365" t="s">
        <v>24</v>
      </c>
      <c r="E365" t="s">
        <v>13</v>
      </c>
      <c r="F365" t="s">
        <v>430</v>
      </c>
      <c r="G365" t="s">
        <v>431</v>
      </c>
    </row>
    <row r="366" spans="1:8" x14ac:dyDescent="0.35">
      <c r="A366" t="s">
        <v>422</v>
      </c>
      <c r="B366" t="s">
        <v>18</v>
      </c>
      <c r="C366" s="12" t="s">
        <v>343</v>
      </c>
      <c r="D366" t="s">
        <v>40</v>
      </c>
      <c r="E366" t="s">
        <v>17</v>
      </c>
      <c r="F366" t="s">
        <v>14</v>
      </c>
      <c r="G366" t="s">
        <v>163</v>
      </c>
      <c r="H366" t="s">
        <v>227</v>
      </c>
    </row>
    <row r="367" spans="1:8" ht="15.65" customHeight="1" x14ac:dyDescent="0.35">
      <c r="A367" t="s">
        <v>422</v>
      </c>
      <c r="B367" s="10" t="s">
        <v>18</v>
      </c>
      <c r="C367" s="12" t="s">
        <v>440</v>
      </c>
      <c r="D367" s="10" t="s">
        <v>435</v>
      </c>
      <c r="E367" s="10" t="s">
        <v>13</v>
      </c>
      <c r="F367" s="10">
        <v>1.85</v>
      </c>
      <c r="G367" s="10" t="s">
        <v>436</v>
      </c>
    </row>
    <row r="368" spans="1:8" x14ac:dyDescent="0.35">
      <c r="A368" t="s">
        <v>422</v>
      </c>
      <c r="B368" s="10" t="s">
        <v>18</v>
      </c>
      <c r="C368" s="12" t="s">
        <v>440</v>
      </c>
      <c r="D368" s="10" t="s">
        <v>174</v>
      </c>
      <c r="E368" s="10" t="s">
        <v>13</v>
      </c>
      <c r="F368" s="10">
        <v>1.28</v>
      </c>
      <c r="G368" s="10"/>
    </row>
    <row r="369" spans="1:8" x14ac:dyDescent="0.35">
      <c r="A369" t="s">
        <v>422</v>
      </c>
      <c r="B369" s="10" t="s">
        <v>375</v>
      </c>
      <c r="C369" s="12" t="s">
        <v>440</v>
      </c>
      <c r="D369" s="10" t="s">
        <v>437</v>
      </c>
      <c r="E369" s="10" t="s">
        <v>13</v>
      </c>
      <c r="F369" s="10">
        <v>2.72</v>
      </c>
      <c r="G369" s="10"/>
    </row>
    <row r="370" spans="1:8" ht="15.65" customHeight="1" x14ac:dyDescent="0.35">
      <c r="A370" t="s">
        <v>422</v>
      </c>
      <c r="B370" s="10" t="s">
        <v>10</v>
      </c>
      <c r="C370" s="12" t="s">
        <v>440</v>
      </c>
      <c r="D370" s="10" t="s">
        <v>438</v>
      </c>
      <c r="E370" s="10" t="s">
        <v>17</v>
      </c>
      <c r="F370" s="10"/>
      <c r="G370" s="10" t="s">
        <v>439</v>
      </c>
      <c r="H370" t="s">
        <v>228</v>
      </c>
    </row>
    <row r="371" spans="1:8" x14ac:dyDescent="0.35">
      <c r="A371" t="s">
        <v>454</v>
      </c>
      <c r="B371" s="10" t="s">
        <v>18</v>
      </c>
      <c r="C371" s="12" t="s">
        <v>443</v>
      </c>
      <c r="D371" s="10" t="s">
        <v>204</v>
      </c>
      <c r="E371" s="10" t="s">
        <v>17</v>
      </c>
      <c r="F371" s="10"/>
      <c r="G371" s="10" t="s">
        <v>441</v>
      </c>
      <c r="H371" t="s">
        <v>228</v>
      </c>
    </row>
    <row r="372" spans="1:8" x14ac:dyDescent="0.35">
      <c r="A372" t="s">
        <v>454</v>
      </c>
      <c r="B372" s="10" t="s">
        <v>18</v>
      </c>
      <c r="C372" s="12" t="s">
        <v>443</v>
      </c>
      <c r="D372" s="10" t="s">
        <v>296</v>
      </c>
      <c r="E372" s="10" t="s">
        <v>13</v>
      </c>
      <c r="F372" s="10">
        <v>4.8099999999999996</v>
      </c>
      <c r="G372" s="10"/>
    </row>
    <row r="373" spans="1:8" x14ac:dyDescent="0.35">
      <c r="A373" t="s">
        <v>454</v>
      </c>
      <c r="B373" s="10" t="s">
        <v>18</v>
      </c>
      <c r="C373" s="12" t="s">
        <v>443</v>
      </c>
      <c r="D373" s="10" t="s">
        <v>134</v>
      </c>
      <c r="E373" s="10" t="s">
        <v>13</v>
      </c>
      <c r="F373" s="10">
        <v>1.86</v>
      </c>
      <c r="G373" s="10"/>
    </row>
    <row r="374" spans="1:8" ht="15.75" customHeight="1" x14ac:dyDescent="0.35">
      <c r="A374" t="s">
        <v>454</v>
      </c>
      <c r="B374" s="10" t="s">
        <v>18</v>
      </c>
      <c r="C374" s="12" t="s">
        <v>443</v>
      </c>
      <c r="D374" s="10" t="s">
        <v>296</v>
      </c>
      <c r="E374" s="10" t="s">
        <v>13</v>
      </c>
      <c r="F374" s="10">
        <v>0.04</v>
      </c>
      <c r="G374" s="10" t="s">
        <v>442</v>
      </c>
    </row>
    <row r="375" spans="1:8" x14ac:dyDescent="0.35">
      <c r="A375" t="s">
        <v>454</v>
      </c>
      <c r="B375" s="10" t="s">
        <v>10</v>
      </c>
      <c r="C375" s="12" t="s">
        <v>443</v>
      </c>
      <c r="D375" s="10" t="s">
        <v>192</v>
      </c>
      <c r="E375" s="10" t="s">
        <v>13</v>
      </c>
      <c r="F375" s="10">
        <v>5.15</v>
      </c>
      <c r="G375" s="10"/>
    </row>
    <row r="376" spans="1:8" x14ac:dyDescent="0.35">
      <c r="A376" t="s">
        <v>454</v>
      </c>
      <c r="B376" s="10" t="s">
        <v>375</v>
      </c>
      <c r="C376" s="12" t="s">
        <v>443</v>
      </c>
      <c r="D376" s="10">
        <v>2</v>
      </c>
      <c r="E376" s="10" t="s">
        <v>13</v>
      </c>
      <c r="F376" s="10">
        <v>4.49</v>
      </c>
      <c r="G376" s="10"/>
    </row>
    <row r="377" spans="1:8" x14ac:dyDescent="0.35">
      <c r="A377" t="s">
        <v>455</v>
      </c>
      <c r="B377" t="s">
        <v>18</v>
      </c>
      <c r="C377" s="12" t="s">
        <v>443</v>
      </c>
      <c r="D377" t="s">
        <v>134</v>
      </c>
      <c r="E377" s="12" t="s">
        <v>13</v>
      </c>
      <c r="F377" s="1">
        <v>1.01</v>
      </c>
    </row>
    <row r="378" spans="1:8" x14ac:dyDescent="0.35">
      <c r="A378" t="s">
        <v>455</v>
      </c>
      <c r="B378" t="s">
        <v>18</v>
      </c>
      <c r="C378" s="12" t="s">
        <v>443</v>
      </c>
      <c r="D378" t="s">
        <v>296</v>
      </c>
      <c r="E378" s="12" t="s">
        <v>17</v>
      </c>
      <c r="G378" t="s">
        <v>444</v>
      </c>
      <c r="H378" t="s">
        <v>230</v>
      </c>
    </row>
    <row r="379" spans="1:8" x14ac:dyDescent="0.35">
      <c r="A379" t="s">
        <v>455</v>
      </c>
      <c r="B379" t="s">
        <v>18</v>
      </c>
      <c r="C379" s="12" t="s">
        <v>443</v>
      </c>
      <c r="D379" t="s">
        <v>135</v>
      </c>
      <c r="E379" s="12" t="s">
        <v>13</v>
      </c>
      <c r="F379" s="1">
        <v>0.67</v>
      </c>
    </row>
    <row r="380" spans="1:8" x14ac:dyDescent="0.35">
      <c r="A380" t="s">
        <v>455</v>
      </c>
      <c r="B380" t="s">
        <v>18</v>
      </c>
      <c r="C380" s="12" t="s">
        <v>443</v>
      </c>
      <c r="D380" t="s">
        <v>132</v>
      </c>
      <c r="E380" s="12" t="s">
        <v>13</v>
      </c>
      <c r="F380" s="1">
        <v>1.95</v>
      </c>
    </row>
    <row r="381" spans="1:8" x14ac:dyDescent="0.35">
      <c r="A381" t="s">
        <v>455</v>
      </c>
      <c r="B381" t="s">
        <v>18</v>
      </c>
      <c r="C381" s="12" t="s">
        <v>443</v>
      </c>
      <c r="D381" t="s">
        <v>205</v>
      </c>
      <c r="E381" s="12" t="s">
        <v>17</v>
      </c>
      <c r="G381" t="s">
        <v>218</v>
      </c>
      <c r="H381" t="s">
        <v>228</v>
      </c>
    </row>
    <row r="382" spans="1:8" x14ac:dyDescent="0.35">
      <c r="A382" t="s">
        <v>455</v>
      </c>
      <c r="B382" t="s">
        <v>10</v>
      </c>
      <c r="C382" s="12" t="s">
        <v>443</v>
      </c>
      <c r="D382" t="s">
        <v>445</v>
      </c>
      <c r="E382" s="12" t="s">
        <v>17</v>
      </c>
      <c r="G382" t="s">
        <v>218</v>
      </c>
      <c r="H382" t="s">
        <v>228</v>
      </c>
    </row>
    <row r="383" spans="1:8" x14ac:dyDescent="0.35">
      <c r="A383" t="s">
        <v>455</v>
      </c>
      <c r="B383" t="s">
        <v>10</v>
      </c>
      <c r="C383" s="12" t="s">
        <v>443</v>
      </c>
      <c r="D383" t="s">
        <v>210</v>
      </c>
      <c r="E383" s="12" t="s">
        <v>13</v>
      </c>
      <c r="F383" s="1">
        <v>2.42</v>
      </c>
    </row>
    <row r="384" spans="1:8" x14ac:dyDescent="0.35">
      <c r="A384" t="s">
        <v>455</v>
      </c>
      <c r="B384" t="s">
        <v>375</v>
      </c>
      <c r="C384" s="12" t="s">
        <v>443</v>
      </c>
      <c r="D384" t="s">
        <v>446</v>
      </c>
      <c r="E384" s="12" t="s">
        <v>13</v>
      </c>
      <c r="F384" s="1">
        <v>5.52</v>
      </c>
    </row>
    <row r="385" spans="1:8" x14ac:dyDescent="0.35">
      <c r="A385" t="s">
        <v>456</v>
      </c>
      <c r="B385" t="s">
        <v>375</v>
      </c>
      <c r="C385" s="15" t="s">
        <v>453</v>
      </c>
      <c r="D385" t="s">
        <v>447</v>
      </c>
      <c r="E385" s="12" t="s">
        <v>17</v>
      </c>
      <c r="G385" t="s">
        <v>200</v>
      </c>
      <c r="H385" t="s">
        <v>231</v>
      </c>
    </row>
    <row r="386" spans="1:8" x14ac:dyDescent="0.35">
      <c r="A386" t="s">
        <v>456</v>
      </c>
      <c r="B386" t="s">
        <v>10</v>
      </c>
      <c r="C386" s="15" t="s">
        <v>453</v>
      </c>
      <c r="D386" t="s">
        <v>448</v>
      </c>
      <c r="E386" s="12" t="s">
        <v>13</v>
      </c>
      <c r="F386" s="1">
        <v>3.36</v>
      </c>
      <c r="G386" t="s">
        <v>449</v>
      </c>
    </row>
    <row r="387" spans="1:8" x14ac:dyDescent="0.35">
      <c r="A387" t="s">
        <v>456</v>
      </c>
      <c r="B387" t="s">
        <v>18</v>
      </c>
      <c r="C387" s="15" t="s">
        <v>453</v>
      </c>
      <c r="D387" t="s">
        <v>174</v>
      </c>
      <c r="E387" s="12" t="s">
        <v>13</v>
      </c>
      <c r="F387" s="1">
        <v>2.25</v>
      </c>
    </row>
    <row r="388" spans="1:8" x14ac:dyDescent="0.35">
      <c r="A388" t="s">
        <v>456</v>
      </c>
      <c r="B388" t="s">
        <v>18</v>
      </c>
      <c r="C388" s="15" t="s">
        <v>453</v>
      </c>
      <c r="D388" t="s">
        <v>139</v>
      </c>
      <c r="E388" s="12" t="s">
        <v>13</v>
      </c>
      <c r="F388" s="1">
        <v>3.61</v>
      </c>
      <c r="G388" t="s">
        <v>450</v>
      </c>
    </row>
    <row r="389" spans="1:8" x14ac:dyDescent="0.35">
      <c r="A389" t="s">
        <v>456</v>
      </c>
      <c r="B389" t="s">
        <v>18</v>
      </c>
      <c r="C389" s="15" t="s">
        <v>453</v>
      </c>
      <c r="D389" t="s">
        <v>451</v>
      </c>
      <c r="E389" s="12" t="s">
        <v>17</v>
      </c>
      <c r="G389" t="s">
        <v>452</v>
      </c>
      <c r="H389" t="s">
        <v>230</v>
      </c>
    </row>
    <row r="390" spans="1:8" x14ac:dyDescent="0.35">
      <c r="A390" t="s">
        <v>467</v>
      </c>
      <c r="B390" t="s">
        <v>18</v>
      </c>
      <c r="C390" s="15" t="s">
        <v>474</v>
      </c>
      <c r="D390" t="s">
        <v>40</v>
      </c>
      <c r="E390" t="s">
        <v>17</v>
      </c>
      <c r="F390" t="s">
        <v>14</v>
      </c>
      <c r="G390" t="s">
        <v>163</v>
      </c>
      <c r="H390" t="s">
        <v>227</v>
      </c>
    </row>
    <row r="391" spans="1:8" x14ac:dyDescent="0.35">
      <c r="A391" t="s">
        <v>467</v>
      </c>
      <c r="B391" t="s">
        <v>18</v>
      </c>
      <c r="C391" s="15" t="s">
        <v>474</v>
      </c>
      <c r="D391" t="s">
        <v>96</v>
      </c>
      <c r="E391" t="s">
        <v>17</v>
      </c>
      <c r="F391" t="s">
        <v>14</v>
      </c>
      <c r="G391" t="s">
        <v>163</v>
      </c>
      <c r="H391" t="s">
        <v>227</v>
      </c>
    </row>
    <row r="392" spans="1:8" x14ac:dyDescent="0.35">
      <c r="A392" t="s">
        <v>467</v>
      </c>
      <c r="B392" t="s">
        <v>10</v>
      </c>
      <c r="C392" s="15" t="s">
        <v>474</v>
      </c>
      <c r="D392" t="s">
        <v>34</v>
      </c>
      <c r="E392" t="s">
        <v>13</v>
      </c>
      <c r="F392" t="s">
        <v>468</v>
      </c>
      <c r="G392" t="s">
        <v>469</v>
      </c>
    </row>
    <row r="393" spans="1:8" x14ac:dyDescent="0.35">
      <c r="A393" t="s">
        <v>467</v>
      </c>
      <c r="B393" t="s">
        <v>18</v>
      </c>
      <c r="C393" s="15" t="s">
        <v>474</v>
      </c>
      <c r="D393" t="s">
        <v>40</v>
      </c>
      <c r="E393" t="s">
        <v>13</v>
      </c>
      <c r="F393" t="s">
        <v>470</v>
      </c>
      <c r="G393" t="s">
        <v>471</v>
      </c>
    </row>
    <row r="394" spans="1:8" x14ac:dyDescent="0.35">
      <c r="A394" t="s">
        <v>467</v>
      </c>
      <c r="B394" t="s">
        <v>18</v>
      </c>
      <c r="C394" s="15" t="s">
        <v>474</v>
      </c>
      <c r="D394" t="s">
        <v>96</v>
      </c>
      <c r="E394" t="s">
        <v>13</v>
      </c>
      <c r="F394" t="s">
        <v>472</v>
      </c>
      <c r="G394" t="s">
        <v>473</v>
      </c>
    </row>
  </sheetData>
  <phoneticPr fontId="4" type="noConversion"/>
  <pageMargins left="0.7" right="0.7" top="0.75" bottom="0.75" header="0.3" footer="0.3"/>
  <pageSetup orientation="portrait" verticalDpi="0" r:id="rId1"/>
  <ignoredErrors>
    <ignoredError sqref="A2:E3 A12:E18 A10:E11 A26:E27 A1:E1 A5:E7 A4:E4 G4 A9:E9 A8:E8 G8 A20:E24 A19:E19 G19 G2:G3 G12:G18 G1 G5:G7 G9 G20:G25 A25:D25" numberStoredAsText="1"/>
  </ignoredError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errorTitle="Check column E" error="Free-text now allowed. Use column G &quot;Notes&quot; to free type." xr:uid="{CCEC2339-3173-4091-AC8C-03341209F21E}">
          <x14:formula1>
            <xm:f>IF($E1048459="No", 'Data Dictionary'!$A$25:$A$30, 'Data Dictionary'!$A$32)</xm:f>
          </x14:formula1>
          <xm:sqref>H1</xm:sqref>
        </x14:dataValidation>
        <x14:dataValidation type="list" allowBlank="1" showInputMessage="1" showErrorMessage="1" errorTitle="Check column E" error="Free-text now allowed. Use column G &quot;Notes&quot; to free type." xr:uid="{9C607005-CBF4-4F89-B4A2-4FF0C325CD67}">
          <x14:formula1>
            <xm:f>IF($E284="No", 'Data Dictionary'!$A$25:$A$30, 'Data Dictionary'!$A$32)</xm:f>
          </x14:formula1>
          <xm:sqref>H400:H633</xm:sqref>
        </x14:dataValidation>
        <x14:dataValidation type="list" allowBlank="1" showInputMessage="1" showErrorMessage="1" errorTitle="Column E must say No" xr:uid="{97F5F38E-534B-4784-BE51-FF18C8276B2D}">
          <x14:formula1>
            <xm:f>IF($E2="No", 'Data Dictionary'!$A$25:$A$30, 'Data Dictionary'!$A$32)</xm:f>
          </x14:formula1>
          <xm:sqref>H2:H399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BDDD7-65A5-4F9A-8645-E6E255B43C11}">
  <dimension ref="A1:G121"/>
  <sheetViews>
    <sheetView tabSelected="1" workbookViewId="0">
      <pane xSplit="1" ySplit="1" topLeftCell="B98" activePane="bottomRight" state="frozen"/>
      <selection pane="topRight" activeCell="B1" sqref="B1"/>
      <selection pane="bottomLeft" activeCell="A2" sqref="A2"/>
      <selection pane="bottomRight" activeCell="C121" sqref="C121"/>
    </sheetView>
  </sheetViews>
  <sheetFormatPr defaultRowHeight="15.5" x14ac:dyDescent="0.35"/>
  <cols>
    <col min="1" max="1" width="12.75" customWidth="1"/>
    <col min="2" max="2" width="18.75" style="7" customWidth="1"/>
    <col min="3" max="3" width="12.08203125" style="18" bestFit="1" customWidth="1"/>
    <col min="4" max="4" width="17.25" style="1" bestFit="1" customWidth="1"/>
    <col min="5" max="5" width="12.33203125" style="1" bestFit="1" customWidth="1"/>
    <col min="6" max="6" width="18.33203125" style="1" bestFit="1" customWidth="1"/>
    <col min="7" max="7" width="19.33203125" style="1" bestFit="1" customWidth="1"/>
  </cols>
  <sheetData>
    <row r="1" spans="1:7" s="4" customFormat="1" x14ac:dyDescent="0.35">
      <c r="A1" s="4" t="s">
        <v>0</v>
      </c>
      <c r="B1" s="6" t="s">
        <v>1</v>
      </c>
      <c r="C1" s="17" t="s">
        <v>2</v>
      </c>
      <c r="D1" s="5" t="s">
        <v>64</v>
      </c>
      <c r="E1" s="5" t="s">
        <v>67</v>
      </c>
      <c r="F1" s="5" t="s">
        <v>69</v>
      </c>
      <c r="G1" s="5" t="s">
        <v>83</v>
      </c>
    </row>
    <row r="2" spans="1:7" x14ac:dyDescent="0.35">
      <c r="A2" s="2">
        <v>46232</v>
      </c>
      <c r="D2" s="1">
        <v>12</v>
      </c>
      <c r="E2" s="1">
        <v>8</v>
      </c>
      <c r="F2" s="1">
        <f t="shared" ref="F2:F7" si="0">IFERROR(D2-E2,0)</f>
        <v>4</v>
      </c>
      <c r="G2" s="3">
        <v>70</v>
      </c>
    </row>
    <row r="3" spans="1:7" x14ac:dyDescent="0.35">
      <c r="A3" s="2">
        <v>46233</v>
      </c>
      <c r="D3" s="1">
        <v>8</v>
      </c>
      <c r="E3" s="1">
        <v>8</v>
      </c>
      <c r="F3" s="1">
        <f t="shared" si="0"/>
        <v>0</v>
      </c>
      <c r="G3" s="3"/>
    </row>
    <row r="4" spans="1:7" x14ac:dyDescent="0.35">
      <c r="A4" s="2">
        <v>46234</v>
      </c>
      <c r="D4" s="1">
        <v>8</v>
      </c>
      <c r="E4" s="1">
        <v>8</v>
      </c>
      <c r="F4" s="1">
        <f t="shared" si="0"/>
        <v>0</v>
      </c>
      <c r="G4" s="3"/>
    </row>
    <row r="5" spans="1:7" x14ac:dyDescent="0.35">
      <c r="A5" s="2">
        <v>46237</v>
      </c>
      <c r="D5" s="1">
        <v>9</v>
      </c>
      <c r="E5" s="1">
        <v>9</v>
      </c>
      <c r="F5" s="1">
        <f t="shared" si="0"/>
        <v>0</v>
      </c>
      <c r="G5" s="3"/>
    </row>
    <row r="6" spans="1:7" x14ac:dyDescent="0.35">
      <c r="A6" s="2">
        <v>46238</v>
      </c>
      <c r="D6" s="1">
        <v>9</v>
      </c>
      <c r="E6" s="1">
        <v>8</v>
      </c>
      <c r="F6" s="1">
        <f t="shared" si="0"/>
        <v>1</v>
      </c>
      <c r="G6" s="3"/>
    </row>
    <row r="7" spans="1:7" x14ac:dyDescent="0.35">
      <c r="A7" s="2">
        <v>46239</v>
      </c>
      <c r="D7" s="1">
        <v>8</v>
      </c>
      <c r="E7" s="1">
        <v>8</v>
      </c>
      <c r="F7" s="1">
        <f t="shared" si="0"/>
        <v>0</v>
      </c>
      <c r="G7" s="3"/>
    </row>
    <row r="8" spans="1:7" x14ac:dyDescent="0.35">
      <c r="A8" s="2">
        <v>46240</v>
      </c>
      <c r="B8" s="7" t="s">
        <v>10</v>
      </c>
      <c r="C8" s="18" t="s">
        <v>22</v>
      </c>
      <c r="D8" s="1">
        <v>4</v>
      </c>
      <c r="E8" s="1">
        <v>4</v>
      </c>
      <c r="F8" s="1">
        <f t="shared" ref="F8:F25" si="1">IFERROR(D8-E8,0)</f>
        <v>0</v>
      </c>
      <c r="G8" s="3">
        <v>17</v>
      </c>
    </row>
    <row r="9" spans="1:7" x14ac:dyDescent="0.35">
      <c r="A9" s="2">
        <v>46240</v>
      </c>
      <c r="B9" s="7" t="s">
        <v>18</v>
      </c>
      <c r="C9" s="18" t="s">
        <v>22</v>
      </c>
      <c r="D9" s="1">
        <v>6</v>
      </c>
      <c r="E9" s="1">
        <v>6</v>
      </c>
      <c r="F9" s="1">
        <f t="shared" si="1"/>
        <v>0</v>
      </c>
      <c r="G9" s="3">
        <v>39</v>
      </c>
    </row>
    <row r="10" spans="1:7" x14ac:dyDescent="0.35">
      <c r="A10" s="2">
        <v>46240</v>
      </c>
      <c r="B10" s="7" t="s">
        <v>10</v>
      </c>
      <c r="C10" s="18" t="s">
        <v>31</v>
      </c>
      <c r="D10" s="1">
        <v>2</v>
      </c>
      <c r="E10" s="1">
        <v>1</v>
      </c>
      <c r="F10" s="1">
        <f t="shared" si="1"/>
        <v>1</v>
      </c>
      <c r="G10" s="3">
        <v>9</v>
      </c>
    </row>
    <row r="11" spans="1:7" x14ac:dyDescent="0.35">
      <c r="A11" s="2">
        <v>46240</v>
      </c>
      <c r="B11" s="7" t="s">
        <v>18</v>
      </c>
      <c r="C11" s="18" t="s">
        <v>31</v>
      </c>
      <c r="D11" s="1">
        <v>1</v>
      </c>
      <c r="E11" s="1">
        <v>0</v>
      </c>
      <c r="F11" s="1">
        <f t="shared" si="1"/>
        <v>1</v>
      </c>
      <c r="G11" s="3">
        <v>1</v>
      </c>
    </row>
    <row r="12" spans="1:7" x14ac:dyDescent="0.35">
      <c r="A12" s="2">
        <v>46240</v>
      </c>
      <c r="B12" s="7" t="s">
        <v>10</v>
      </c>
      <c r="C12" s="18" t="s">
        <v>11</v>
      </c>
      <c r="D12" s="1">
        <v>3</v>
      </c>
      <c r="E12" s="1">
        <v>2</v>
      </c>
      <c r="F12" s="1">
        <f t="shared" si="1"/>
        <v>1</v>
      </c>
      <c r="G12" s="3"/>
    </row>
    <row r="13" spans="1:7" x14ac:dyDescent="0.35">
      <c r="A13" s="2">
        <v>46240</v>
      </c>
      <c r="B13" s="7" t="s">
        <v>18</v>
      </c>
      <c r="C13" s="18" t="s">
        <v>11</v>
      </c>
      <c r="D13" s="1">
        <v>1</v>
      </c>
      <c r="E13" s="1">
        <v>1</v>
      </c>
      <c r="F13" s="1">
        <f t="shared" si="1"/>
        <v>0</v>
      </c>
      <c r="G13" s="3">
        <v>13</v>
      </c>
    </row>
    <row r="14" spans="1:7" x14ac:dyDescent="0.35">
      <c r="A14" s="2">
        <v>46241</v>
      </c>
      <c r="B14" s="7" t="s">
        <v>10</v>
      </c>
      <c r="C14" s="18" t="s">
        <v>22</v>
      </c>
      <c r="D14" s="1">
        <v>3</v>
      </c>
      <c r="E14" s="1">
        <v>2</v>
      </c>
      <c r="F14" s="1">
        <f t="shared" si="1"/>
        <v>1</v>
      </c>
      <c r="G14" s="3"/>
    </row>
    <row r="15" spans="1:7" x14ac:dyDescent="0.35">
      <c r="A15" s="2">
        <v>46241</v>
      </c>
      <c r="B15" s="7" t="s">
        <v>18</v>
      </c>
      <c r="C15" s="18" t="s">
        <v>22</v>
      </c>
      <c r="D15" s="1">
        <v>0</v>
      </c>
      <c r="E15" s="1">
        <v>0</v>
      </c>
      <c r="F15" s="1">
        <f t="shared" si="1"/>
        <v>0</v>
      </c>
      <c r="G15" s="3"/>
    </row>
    <row r="16" spans="1:7" x14ac:dyDescent="0.35">
      <c r="A16" s="2">
        <v>46241</v>
      </c>
      <c r="B16" s="7" t="s">
        <v>10</v>
      </c>
      <c r="C16" s="18" t="s">
        <v>31</v>
      </c>
      <c r="D16" s="1">
        <v>0</v>
      </c>
      <c r="E16" s="1">
        <v>0</v>
      </c>
      <c r="F16" s="1">
        <f t="shared" si="1"/>
        <v>0</v>
      </c>
      <c r="G16" s="3"/>
    </row>
    <row r="17" spans="1:7" x14ac:dyDescent="0.35">
      <c r="A17" s="2">
        <v>46241</v>
      </c>
      <c r="B17" s="7" t="s">
        <v>18</v>
      </c>
      <c r="C17" s="18" t="s">
        <v>31</v>
      </c>
      <c r="D17" s="1">
        <v>0</v>
      </c>
      <c r="E17" s="1">
        <v>0</v>
      </c>
      <c r="F17" s="1">
        <f t="shared" si="1"/>
        <v>0</v>
      </c>
      <c r="G17" s="3"/>
    </row>
    <row r="18" spans="1:7" x14ac:dyDescent="0.35">
      <c r="A18" s="2">
        <v>46241</v>
      </c>
      <c r="B18" s="7" t="s">
        <v>10</v>
      </c>
      <c r="C18" s="18" t="s">
        <v>11</v>
      </c>
      <c r="D18" s="1">
        <v>0</v>
      </c>
      <c r="E18" s="1">
        <v>0</v>
      </c>
      <c r="F18" s="1">
        <f t="shared" si="1"/>
        <v>0</v>
      </c>
      <c r="G18" s="3"/>
    </row>
    <row r="19" spans="1:7" x14ac:dyDescent="0.35">
      <c r="A19" s="2">
        <v>46241</v>
      </c>
      <c r="B19" s="7" t="s">
        <v>18</v>
      </c>
      <c r="C19" s="18" t="s">
        <v>11</v>
      </c>
      <c r="D19" s="1">
        <v>0</v>
      </c>
      <c r="E19" s="1">
        <v>0</v>
      </c>
      <c r="F19" s="1">
        <f t="shared" si="1"/>
        <v>0</v>
      </c>
      <c r="G19" s="3"/>
    </row>
    <row r="20" spans="1:7" x14ac:dyDescent="0.35">
      <c r="A20" s="2">
        <v>46244</v>
      </c>
      <c r="B20" s="7" t="s">
        <v>10</v>
      </c>
      <c r="C20" s="18" t="s">
        <v>31</v>
      </c>
      <c r="D20" s="1">
        <v>4</v>
      </c>
      <c r="E20" s="1">
        <v>3</v>
      </c>
      <c r="F20" s="1">
        <f t="shared" si="1"/>
        <v>1</v>
      </c>
      <c r="G20" s="3">
        <v>37</v>
      </c>
    </row>
    <row r="21" spans="1:7" x14ac:dyDescent="0.35">
      <c r="A21" s="2">
        <v>46244</v>
      </c>
      <c r="B21" s="7" t="s">
        <v>18</v>
      </c>
      <c r="C21" s="18" t="s">
        <v>31</v>
      </c>
      <c r="D21" s="1">
        <v>1</v>
      </c>
      <c r="E21" s="1">
        <v>1</v>
      </c>
      <c r="F21" s="1">
        <f t="shared" si="1"/>
        <v>0</v>
      </c>
      <c r="G21" s="3">
        <v>8</v>
      </c>
    </row>
    <row r="22" spans="1:7" x14ac:dyDescent="0.35">
      <c r="A22" s="2">
        <v>46245</v>
      </c>
      <c r="B22" s="7" t="s">
        <v>10</v>
      </c>
      <c r="C22" s="18" t="s">
        <v>22</v>
      </c>
      <c r="D22" s="1">
        <v>4</v>
      </c>
      <c r="E22" s="1">
        <v>4</v>
      </c>
      <c r="F22" s="1">
        <f t="shared" si="1"/>
        <v>0</v>
      </c>
      <c r="G22" s="3">
        <v>20</v>
      </c>
    </row>
    <row r="23" spans="1:7" x14ac:dyDescent="0.35">
      <c r="A23" s="2">
        <v>46245</v>
      </c>
      <c r="B23" s="7" t="s">
        <v>18</v>
      </c>
      <c r="C23" s="18" t="s">
        <v>22</v>
      </c>
      <c r="D23" s="1">
        <v>3</v>
      </c>
      <c r="E23" s="1">
        <v>1</v>
      </c>
      <c r="F23" s="1">
        <f t="shared" si="1"/>
        <v>2</v>
      </c>
      <c r="G23" s="3">
        <v>2</v>
      </c>
    </row>
    <row r="24" spans="1:7" x14ac:dyDescent="0.35">
      <c r="A24" s="2">
        <v>46245</v>
      </c>
      <c r="B24" s="7" t="s">
        <v>10</v>
      </c>
      <c r="C24" s="18" t="s">
        <v>31</v>
      </c>
      <c r="D24" s="1">
        <v>0</v>
      </c>
      <c r="E24" s="1">
        <v>0</v>
      </c>
      <c r="F24" s="1">
        <f t="shared" si="1"/>
        <v>0</v>
      </c>
      <c r="G24" s="3">
        <v>0</v>
      </c>
    </row>
    <row r="25" spans="1:7" x14ac:dyDescent="0.35">
      <c r="A25" s="2">
        <v>46245</v>
      </c>
      <c r="B25" s="7" t="s">
        <v>18</v>
      </c>
      <c r="C25" s="18" t="s">
        <v>31</v>
      </c>
      <c r="D25" s="1">
        <v>2</v>
      </c>
      <c r="E25" s="1">
        <v>1</v>
      </c>
      <c r="F25" s="1">
        <f t="shared" si="1"/>
        <v>1</v>
      </c>
      <c r="G25" s="3">
        <v>4.21</v>
      </c>
    </row>
    <row r="26" spans="1:7" x14ac:dyDescent="0.35">
      <c r="A26" s="2">
        <v>46246</v>
      </c>
      <c r="B26" s="7" t="s">
        <v>10</v>
      </c>
      <c r="C26" s="18" t="s">
        <v>31</v>
      </c>
      <c r="D26" s="1">
        <v>3</v>
      </c>
      <c r="E26" s="1">
        <v>3</v>
      </c>
      <c r="F26" s="1">
        <v>0</v>
      </c>
      <c r="G26" s="1">
        <v>42.62</v>
      </c>
    </row>
    <row r="27" spans="1:7" x14ac:dyDescent="0.35">
      <c r="A27" s="2">
        <v>46246</v>
      </c>
      <c r="B27" s="7" t="s">
        <v>10</v>
      </c>
      <c r="C27" s="18" t="s">
        <v>11</v>
      </c>
      <c r="D27" s="1">
        <v>2</v>
      </c>
      <c r="E27" s="1">
        <v>2</v>
      </c>
      <c r="F27" s="1">
        <v>0</v>
      </c>
      <c r="G27" s="1">
        <v>19.12</v>
      </c>
    </row>
    <row r="28" spans="1:7" x14ac:dyDescent="0.35">
      <c r="A28" s="2">
        <v>46246</v>
      </c>
      <c r="B28" s="7" t="s">
        <v>18</v>
      </c>
      <c r="C28" s="18" t="s">
        <v>11</v>
      </c>
      <c r="D28" s="1">
        <v>4</v>
      </c>
      <c r="E28" s="1">
        <v>2</v>
      </c>
      <c r="F28" s="1">
        <v>2</v>
      </c>
      <c r="G28" s="1">
        <v>11.43</v>
      </c>
    </row>
    <row r="29" spans="1:7" x14ac:dyDescent="0.35">
      <c r="A29" t="s">
        <v>99</v>
      </c>
      <c r="B29" s="7" t="s">
        <v>10</v>
      </c>
      <c r="C29" s="18" t="s">
        <v>11</v>
      </c>
      <c r="D29" s="1">
        <v>4</v>
      </c>
      <c r="E29" s="1">
        <v>2</v>
      </c>
      <c r="F29" s="1">
        <v>2</v>
      </c>
      <c r="G29" s="1">
        <v>19.03</v>
      </c>
    </row>
    <row r="30" spans="1:7" x14ac:dyDescent="0.35">
      <c r="A30" t="s">
        <v>99</v>
      </c>
      <c r="B30" s="7" t="s">
        <v>18</v>
      </c>
      <c r="C30" s="18" t="s">
        <v>11</v>
      </c>
      <c r="D30" s="1">
        <v>5</v>
      </c>
      <c r="E30" s="1">
        <v>1</v>
      </c>
      <c r="F30" s="1">
        <v>4</v>
      </c>
      <c r="G30" s="1">
        <v>10.49</v>
      </c>
    </row>
    <row r="31" spans="1:7" x14ac:dyDescent="0.35">
      <c r="A31" t="s">
        <v>107</v>
      </c>
      <c r="B31" s="7" t="s">
        <v>10</v>
      </c>
      <c r="C31" s="18" t="s">
        <v>11</v>
      </c>
      <c r="D31" s="1">
        <v>3</v>
      </c>
      <c r="E31" s="1">
        <v>1</v>
      </c>
      <c r="F31" s="1">
        <v>2</v>
      </c>
      <c r="G31" s="1">
        <v>5.24</v>
      </c>
    </row>
    <row r="32" spans="1:7" x14ac:dyDescent="0.35">
      <c r="A32" t="s">
        <v>107</v>
      </c>
      <c r="B32" s="7" t="s">
        <v>18</v>
      </c>
      <c r="C32" s="18" t="s">
        <v>11</v>
      </c>
      <c r="D32" s="1">
        <v>2</v>
      </c>
      <c r="E32" s="1">
        <v>2</v>
      </c>
      <c r="F32" s="1">
        <v>0</v>
      </c>
      <c r="G32" s="1">
        <v>28.65</v>
      </c>
    </row>
    <row r="33" spans="1:7" x14ac:dyDescent="0.35">
      <c r="A33" t="s">
        <v>109</v>
      </c>
      <c r="B33" s="7" t="s">
        <v>10</v>
      </c>
      <c r="C33" s="18" t="s">
        <v>11</v>
      </c>
      <c r="D33" s="1">
        <v>8</v>
      </c>
      <c r="E33" s="1">
        <v>7</v>
      </c>
      <c r="F33" s="1">
        <v>1</v>
      </c>
      <c r="G33" s="1">
        <v>43.78</v>
      </c>
    </row>
    <row r="34" spans="1:7" x14ac:dyDescent="0.35">
      <c r="A34" t="s">
        <v>109</v>
      </c>
      <c r="B34" s="7" t="s">
        <v>18</v>
      </c>
      <c r="C34" s="18" t="s">
        <v>11</v>
      </c>
      <c r="D34" s="1">
        <v>2</v>
      </c>
      <c r="E34" s="1">
        <v>2</v>
      </c>
      <c r="F34" s="1">
        <v>0</v>
      </c>
      <c r="G34" s="1">
        <v>14.24</v>
      </c>
    </row>
    <row r="35" spans="1:7" x14ac:dyDescent="0.35">
      <c r="A35" t="s">
        <v>115</v>
      </c>
      <c r="B35" s="7" t="s">
        <v>10</v>
      </c>
      <c r="C35" s="18" t="s">
        <v>11</v>
      </c>
      <c r="D35" s="1">
        <v>8</v>
      </c>
      <c r="E35" s="1">
        <v>8</v>
      </c>
      <c r="F35" s="1">
        <v>0</v>
      </c>
      <c r="G35" s="1">
        <v>45.85</v>
      </c>
    </row>
    <row r="36" spans="1:7" x14ac:dyDescent="0.35">
      <c r="A36" t="s">
        <v>117</v>
      </c>
      <c r="B36" t="s">
        <v>10</v>
      </c>
      <c r="C36" s="18" t="s">
        <v>11</v>
      </c>
      <c r="D36" s="1">
        <v>5</v>
      </c>
      <c r="E36" s="1">
        <v>3</v>
      </c>
      <c r="F36" s="1">
        <v>2</v>
      </c>
      <c r="G36" s="1" t="s">
        <v>121</v>
      </c>
    </row>
    <row r="37" spans="1:7" x14ac:dyDescent="0.35">
      <c r="A37" t="s">
        <v>117</v>
      </c>
      <c r="B37" t="s">
        <v>18</v>
      </c>
      <c r="C37" s="18" t="s">
        <v>11</v>
      </c>
      <c r="D37" s="1">
        <v>5</v>
      </c>
      <c r="E37" s="1">
        <v>5</v>
      </c>
      <c r="F37" s="1">
        <v>0</v>
      </c>
      <c r="G37" s="1" t="s">
        <v>122</v>
      </c>
    </row>
    <row r="38" spans="1:7" x14ac:dyDescent="0.35">
      <c r="A38" t="s">
        <v>123</v>
      </c>
      <c r="B38" t="s">
        <v>10</v>
      </c>
      <c r="C38" s="18" t="s">
        <v>11</v>
      </c>
      <c r="D38" s="1">
        <v>2</v>
      </c>
      <c r="E38" s="1">
        <v>1</v>
      </c>
      <c r="F38" s="1">
        <v>1</v>
      </c>
      <c r="G38" s="1" t="s">
        <v>129</v>
      </c>
    </row>
    <row r="39" spans="1:7" x14ac:dyDescent="0.35">
      <c r="A39" t="s">
        <v>123</v>
      </c>
      <c r="B39" t="s">
        <v>18</v>
      </c>
      <c r="C39" s="18" t="s">
        <v>11</v>
      </c>
      <c r="D39" s="1">
        <v>4</v>
      </c>
      <c r="E39" s="1">
        <v>2</v>
      </c>
      <c r="F39" s="1">
        <v>2</v>
      </c>
      <c r="G39" s="1" t="s">
        <v>130</v>
      </c>
    </row>
    <row r="40" spans="1:7" x14ac:dyDescent="0.35">
      <c r="A40" s="9">
        <v>46257</v>
      </c>
      <c r="B40" s="10" t="s">
        <v>18</v>
      </c>
      <c r="C40" s="18" t="s">
        <v>11</v>
      </c>
      <c r="D40" s="11">
        <v>4</v>
      </c>
      <c r="E40" s="11">
        <v>4</v>
      </c>
      <c r="F40" s="11">
        <v>0</v>
      </c>
      <c r="G40" s="11">
        <v>16.02</v>
      </c>
    </row>
    <row r="41" spans="1:7" x14ac:dyDescent="0.35">
      <c r="A41" s="9">
        <v>46257</v>
      </c>
      <c r="B41" s="10" t="s">
        <v>10</v>
      </c>
      <c r="C41" s="18" t="s">
        <v>11</v>
      </c>
      <c r="D41" s="11">
        <v>1</v>
      </c>
      <c r="E41" s="11">
        <v>0</v>
      </c>
      <c r="F41" s="11">
        <v>1</v>
      </c>
      <c r="G41" s="11">
        <v>0.38</v>
      </c>
    </row>
    <row r="42" spans="1:7" x14ac:dyDescent="0.35">
      <c r="A42" s="2">
        <v>46257</v>
      </c>
      <c r="B42" s="7" t="s">
        <v>18</v>
      </c>
      <c r="C42" s="18" t="s">
        <v>11</v>
      </c>
      <c r="D42" s="1">
        <v>4</v>
      </c>
      <c r="E42" s="1">
        <v>3</v>
      </c>
      <c r="F42" s="1">
        <v>1</v>
      </c>
      <c r="G42" s="3">
        <v>12.23</v>
      </c>
    </row>
    <row r="43" spans="1:7" x14ac:dyDescent="0.35">
      <c r="A43" s="2">
        <v>46257</v>
      </c>
      <c r="B43" s="7" t="s">
        <v>10</v>
      </c>
      <c r="C43" s="18" t="s">
        <v>11</v>
      </c>
      <c r="D43" s="1">
        <v>1</v>
      </c>
      <c r="E43" s="1">
        <v>1</v>
      </c>
      <c r="F43" s="1">
        <v>0</v>
      </c>
      <c r="G43" s="3">
        <v>0.97</v>
      </c>
    </row>
    <row r="44" spans="1:7" x14ac:dyDescent="0.35">
      <c r="A44" t="s">
        <v>142</v>
      </c>
      <c r="B44" t="s">
        <v>10</v>
      </c>
      <c r="C44" s="18" t="s">
        <v>11</v>
      </c>
      <c r="D44" s="1">
        <v>5</v>
      </c>
      <c r="E44" s="1">
        <v>4</v>
      </c>
      <c r="F44" s="1">
        <v>1</v>
      </c>
      <c r="G44" s="1" t="s">
        <v>158</v>
      </c>
    </row>
    <row r="45" spans="1:7" x14ac:dyDescent="0.35">
      <c r="A45" t="s">
        <v>142</v>
      </c>
      <c r="B45" t="s">
        <v>18</v>
      </c>
      <c r="C45" s="18" t="s">
        <v>11</v>
      </c>
      <c r="D45" s="1">
        <v>6</v>
      </c>
      <c r="E45" s="1">
        <v>5</v>
      </c>
      <c r="F45" s="1">
        <v>1</v>
      </c>
      <c r="G45" s="1" t="s">
        <v>159</v>
      </c>
    </row>
    <row r="46" spans="1:7" x14ac:dyDescent="0.35">
      <c r="A46" t="s">
        <v>160</v>
      </c>
      <c r="B46" t="s">
        <v>10</v>
      </c>
      <c r="C46" s="18" t="s">
        <v>11</v>
      </c>
      <c r="D46" s="1">
        <v>9</v>
      </c>
      <c r="E46" s="1">
        <v>3</v>
      </c>
      <c r="F46" s="1">
        <v>6</v>
      </c>
      <c r="G46" s="1" t="s">
        <v>172</v>
      </c>
    </row>
    <row r="47" spans="1:7" x14ac:dyDescent="0.35">
      <c r="A47" t="s">
        <v>160</v>
      </c>
      <c r="B47" t="s">
        <v>18</v>
      </c>
      <c r="C47" s="18" t="s">
        <v>11</v>
      </c>
      <c r="D47" s="1">
        <v>5</v>
      </c>
      <c r="E47" s="1">
        <v>5</v>
      </c>
      <c r="F47" s="1">
        <v>0</v>
      </c>
      <c r="G47" s="1" t="s">
        <v>173</v>
      </c>
    </row>
    <row r="48" spans="1:7" x14ac:dyDescent="0.35">
      <c r="A48" t="s">
        <v>180</v>
      </c>
      <c r="B48" t="s">
        <v>10</v>
      </c>
      <c r="C48" s="18" t="s">
        <v>11</v>
      </c>
      <c r="D48" s="1">
        <v>5</v>
      </c>
      <c r="E48" s="1">
        <v>4</v>
      </c>
      <c r="F48" s="1">
        <v>1</v>
      </c>
      <c r="G48" s="1" t="s">
        <v>189</v>
      </c>
    </row>
    <row r="49" spans="1:7" x14ac:dyDescent="0.35">
      <c r="A49" t="s">
        <v>180</v>
      </c>
      <c r="B49" t="s">
        <v>18</v>
      </c>
      <c r="C49" s="18" t="s">
        <v>11</v>
      </c>
      <c r="D49" s="1">
        <v>3</v>
      </c>
      <c r="E49" s="1">
        <v>0</v>
      </c>
      <c r="F49" s="1">
        <v>3</v>
      </c>
      <c r="G49" s="1" t="s">
        <v>190</v>
      </c>
    </row>
    <row r="50" spans="1:7" x14ac:dyDescent="0.35">
      <c r="A50" t="s">
        <v>180</v>
      </c>
      <c r="B50" s="10" t="s">
        <v>18</v>
      </c>
      <c r="C50" s="18" t="s">
        <v>11</v>
      </c>
      <c r="D50" s="11">
        <v>7</v>
      </c>
      <c r="E50" s="11">
        <v>5</v>
      </c>
      <c r="F50" s="11">
        <v>2</v>
      </c>
      <c r="G50" s="11">
        <v>24.11</v>
      </c>
    </row>
    <row r="51" spans="1:7" x14ac:dyDescent="0.35">
      <c r="A51" s="9">
        <v>46262</v>
      </c>
      <c r="B51" s="10" t="s">
        <v>18</v>
      </c>
      <c r="C51" s="19" t="s">
        <v>215</v>
      </c>
      <c r="D51" s="11">
        <v>5</v>
      </c>
      <c r="E51" s="11">
        <v>2</v>
      </c>
      <c r="F51" s="11">
        <v>3</v>
      </c>
      <c r="G51" s="11">
        <v>15.69</v>
      </c>
    </row>
    <row r="52" spans="1:7" x14ac:dyDescent="0.35">
      <c r="A52" s="9">
        <v>46262</v>
      </c>
      <c r="B52" s="10" t="s">
        <v>10</v>
      </c>
      <c r="C52" s="19" t="s">
        <v>215</v>
      </c>
      <c r="D52" s="11">
        <v>3</v>
      </c>
      <c r="E52" s="11">
        <v>2</v>
      </c>
      <c r="F52" s="11">
        <v>1</v>
      </c>
      <c r="G52" s="11">
        <v>10.31</v>
      </c>
    </row>
    <row r="53" spans="1:7" x14ac:dyDescent="0.35">
      <c r="A53" s="9">
        <v>46263</v>
      </c>
      <c r="B53" s="10" t="s">
        <v>18</v>
      </c>
      <c r="C53" s="19" t="s">
        <v>215</v>
      </c>
      <c r="D53" s="11">
        <v>6</v>
      </c>
      <c r="E53" s="11">
        <v>4</v>
      </c>
      <c r="F53" s="11">
        <v>2</v>
      </c>
      <c r="G53" s="11">
        <v>16.690000000000001</v>
      </c>
    </row>
    <row r="54" spans="1:7" x14ac:dyDescent="0.35">
      <c r="A54" s="9">
        <v>46263</v>
      </c>
      <c r="B54" s="10" t="s">
        <v>10</v>
      </c>
      <c r="C54" s="19" t="s">
        <v>215</v>
      </c>
      <c r="D54" s="11">
        <v>3</v>
      </c>
      <c r="E54" s="11">
        <v>3</v>
      </c>
      <c r="F54" s="11">
        <v>0</v>
      </c>
      <c r="G54" s="11">
        <v>22.4</v>
      </c>
    </row>
    <row r="55" spans="1:7" x14ac:dyDescent="0.35">
      <c r="A55" s="9">
        <v>46264</v>
      </c>
      <c r="B55" s="10" t="s">
        <v>10</v>
      </c>
      <c r="C55" s="19" t="s">
        <v>221</v>
      </c>
      <c r="D55" s="11">
        <v>4</v>
      </c>
      <c r="E55" s="11">
        <v>1</v>
      </c>
      <c r="F55" s="11">
        <v>3</v>
      </c>
      <c r="G55" s="11">
        <v>6.14</v>
      </c>
    </row>
    <row r="56" spans="1:7" x14ac:dyDescent="0.35">
      <c r="A56" s="9">
        <v>46264</v>
      </c>
      <c r="B56" s="10" t="s">
        <v>18</v>
      </c>
      <c r="C56" s="19" t="s">
        <v>221</v>
      </c>
      <c r="D56" s="11">
        <v>2</v>
      </c>
      <c r="E56" s="11">
        <v>2</v>
      </c>
      <c r="F56" s="11">
        <v>0</v>
      </c>
      <c r="G56" s="11">
        <v>10.41</v>
      </c>
    </row>
    <row r="57" spans="1:7" x14ac:dyDescent="0.35">
      <c r="A57" s="9">
        <v>46264</v>
      </c>
      <c r="B57" s="10" t="s">
        <v>10</v>
      </c>
      <c r="C57" s="19" t="s">
        <v>215</v>
      </c>
      <c r="D57" s="11">
        <v>7</v>
      </c>
      <c r="E57" s="11">
        <v>3</v>
      </c>
      <c r="F57" s="11">
        <v>0</v>
      </c>
      <c r="G57" s="11">
        <v>18.86</v>
      </c>
    </row>
    <row r="58" spans="1:7" x14ac:dyDescent="0.35">
      <c r="A58" s="9">
        <v>46264</v>
      </c>
      <c r="B58" s="10" t="s">
        <v>18</v>
      </c>
      <c r="C58" s="19" t="s">
        <v>215</v>
      </c>
      <c r="D58" s="11">
        <v>5</v>
      </c>
      <c r="E58" s="11">
        <v>4</v>
      </c>
      <c r="F58" s="11">
        <v>1</v>
      </c>
      <c r="G58" s="11">
        <v>19.18</v>
      </c>
    </row>
    <row r="59" spans="1:7" x14ac:dyDescent="0.35">
      <c r="A59" t="s">
        <v>232</v>
      </c>
      <c r="B59" t="s">
        <v>10</v>
      </c>
      <c r="C59" s="18" t="s">
        <v>11</v>
      </c>
      <c r="D59" s="1">
        <v>6</v>
      </c>
      <c r="E59" s="1">
        <v>3</v>
      </c>
      <c r="F59" s="1">
        <v>3</v>
      </c>
      <c r="G59" s="1" t="s">
        <v>242</v>
      </c>
    </row>
    <row r="60" spans="1:7" x14ac:dyDescent="0.35">
      <c r="A60" t="s">
        <v>232</v>
      </c>
      <c r="B60" t="s">
        <v>18</v>
      </c>
      <c r="C60" s="18" t="s">
        <v>11</v>
      </c>
      <c r="D60" s="1">
        <v>4</v>
      </c>
      <c r="E60" s="1">
        <v>3</v>
      </c>
      <c r="F60" s="1">
        <v>1</v>
      </c>
      <c r="G60" s="1" t="s">
        <v>243</v>
      </c>
    </row>
    <row r="61" spans="1:7" x14ac:dyDescent="0.35">
      <c r="A61" t="s">
        <v>244</v>
      </c>
      <c r="B61" t="s">
        <v>10</v>
      </c>
      <c r="C61" s="18" t="s">
        <v>31</v>
      </c>
      <c r="D61" s="1">
        <v>5</v>
      </c>
      <c r="E61" s="1">
        <v>5</v>
      </c>
      <c r="F61" s="1">
        <v>0</v>
      </c>
      <c r="G61" s="1" t="s">
        <v>258</v>
      </c>
    </row>
    <row r="62" spans="1:7" x14ac:dyDescent="0.35">
      <c r="A62" t="s">
        <v>244</v>
      </c>
      <c r="B62" t="s">
        <v>18</v>
      </c>
      <c r="C62" s="18" t="s">
        <v>31</v>
      </c>
      <c r="D62" s="1">
        <v>2</v>
      </c>
      <c r="E62" s="1">
        <v>1</v>
      </c>
      <c r="F62" s="1">
        <v>1</v>
      </c>
      <c r="G62" s="1" t="s">
        <v>259</v>
      </c>
    </row>
    <row r="63" spans="1:7" x14ac:dyDescent="0.35">
      <c r="A63" t="s">
        <v>244</v>
      </c>
      <c r="B63" t="s">
        <v>18</v>
      </c>
      <c r="C63" s="18" t="s">
        <v>11</v>
      </c>
      <c r="D63" s="1">
        <v>6</v>
      </c>
      <c r="E63" s="1">
        <v>3</v>
      </c>
      <c r="F63" s="1">
        <v>3</v>
      </c>
      <c r="G63" s="1" t="s">
        <v>266</v>
      </c>
    </row>
    <row r="64" spans="1:7" x14ac:dyDescent="0.35">
      <c r="A64" t="s">
        <v>267</v>
      </c>
      <c r="B64" t="s">
        <v>10</v>
      </c>
      <c r="C64" s="18" t="s">
        <v>11</v>
      </c>
      <c r="D64" s="1">
        <v>6</v>
      </c>
      <c r="E64" s="1">
        <v>5</v>
      </c>
      <c r="F64" s="1">
        <v>1</v>
      </c>
      <c r="G64" s="1" t="s">
        <v>259</v>
      </c>
    </row>
    <row r="65" spans="1:7" x14ac:dyDescent="0.35">
      <c r="A65" t="s">
        <v>267</v>
      </c>
      <c r="B65" t="s">
        <v>18</v>
      </c>
      <c r="C65" s="18" t="s">
        <v>11</v>
      </c>
      <c r="D65" s="1">
        <v>6</v>
      </c>
      <c r="E65" s="1">
        <v>5</v>
      </c>
      <c r="F65" s="1">
        <v>1</v>
      </c>
      <c r="G65" s="1" t="s">
        <v>266</v>
      </c>
    </row>
    <row r="66" spans="1:7" x14ac:dyDescent="0.35">
      <c r="A66" s="8">
        <v>46270</v>
      </c>
      <c r="B66" t="s">
        <v>10</v>
      </c>
      <c r="C66" s="18" t="s">
        <v>11</v>
      </c>
      <c r="D66" s="1">
        <v>4</v>
      </c>
      <c r="E66" s="1">
        <v>4</v>
      </c>
      <c r="F66" s="1">
        <v>0</v>
      </c>
      <c r="G66" s="3">
        <v>11.05</v>
      </c>
    </row>
    <row r="67" spans="1:7" x14ac:dyDescent="0.35">
      <c r="A67" s="8">
        <v>46271</v>
      </c>
      <c r="B67" t="s">
        <v>10</v>
      </c>
      <c r="C67" s="18" t="s">
        <v>345</v>
      </c>
      <c r="D67" s="1">
        <v>4</v>
      </c>
      <c r="E67" s="1">
        <v>4</v>
      </c>
      <c r="F67" s="1">
        <v>0</v>
      </c>
      <c r="G67" s="3"/>
    </row>
    <row r="68" spans="1:7" x14ac:dyDescent="0.35">
      <c r="A68" s="8">
        <v>46271</v>
      </c>
      <c r="B68" t="s">
        <v>18</v>
      </c>
      <c r="C68" s="18" t="s">
        <v>345</v>
      </c>
      <c r="D68" s="1">
        <v>2</v>
      </c>
      <c r="E68" s="1">
        <v>2</v>
      </c>
      <c r="F68" s="1">
        <v>0</v>
      </c>
      <c r="G68" s="3"/>
    </row>
    <row r="69" spans="1:7" x14ac:dyDescent="0.35">
      <c r="A69" t="s">
        <v>273</v>
      </c>
      <c r="B69" t="s">
        <v>10</v>
      </c>
      <c r="C69" s="18" t="s">
        <v>11</v>
      </c>
      <c r="D69" s="1">
        <v>5</v>
      </c>
      <c r="E69" s="1">
        <v>2</v>
      </c>
      <c r="F69" s="1">
        <v>3</v>
      </c>
      <c r="G69" s="1" t="s">
        <v>280</v>
      </c>
    </row>
    <row r="70" spans="1:7" x14ac:dyDescent="0.35">
      <c r="A70" t="s">
        <v>273</v>
      </c>
      <c r="B70" t="s">
        <v>18</v>
      </c>
      <c r="C70" s="18" t="s">
        <v>11</v>
      </c>
      <c r="D70" s="1">
        <v>3</v>
      </c>
      <c r="E70" s="1">
        <v>2</v>
      </c>
      <c r="F70" s="1">
        <v>1</v>
      </c>
      <c r="G70" s="1" t="s">
        <v>281</v>
      </c>
    </row>
    <row r="71" spans="1:7" x14ac:dyDescent="0.35">
      <c r="A71" s="8">
        <v>46274</v>
      </c>
      <c r="B71" t="s">
        <v>10</v>
      </c>
      <c r="C71" s="18" t="s">
        <v>11</v>
      </c>
      <c r="D71" s="1">
        <v>5</v>
      </c>
      <c r="E71" s="1">
        <v>2</v>
      </c>
      <c r="F71" s="1">
        <v>3</v>
      </c>
      <c r="G71" s="1" t="s">
        <v>280</v>
      </c>
    </row>
    <row r="72" spans="1:7" x14ac:dyDescent="0.35">
      <c r="A72" s="8">
        <v>46274</v>
      </c>
      <c r="B72" t="s">
        <v>18</v>
      </c>
      <c r="C72" s="18" t="s">
        <v>11</v>
      </c>
      <c r="D72" s="1">
        <v>3</v>
      </c>
      <c r="E72" s="1">
        <v>2</v>
      </c>
      <c r="F72" s="1">
        <v>1</v>
      </c>
      <c r="G72" s="1" t="s">
        <v>281</v>
      </c>
    </row>
    <row r="73" spans="1:7" x14ac:dyDescent="0.35">
      <c r="A73" s="9">
        <v>46275</v>
      </c>
      <c r="B73" s="10" t="s">
        <v>10</v>
      </c>
      <c r="C73" s="18" t="s">
        <v>11</v>
      </c>
      <c r="D73" s="11">
        <v>5</v>
      </c>
      <c r="E73" s="11">
        <v>3</v>
      </c>
      <c r="F73" s="11">
        <v>2</v>
      </c>
      <c r="G73" s="11">
        <v>14.92</v>
      </c>
    </row>
    <row r="74" spans="1:7" x14ac:dyDescent="0.35">
      <c r="A74" s="9">
        <v>46275</v>
      </c>
      <c r="B74" s="10" t="s">
        <v>18</v>
      </c>
      <c r="C74" s="18" t="s">
        <v>11</v>
      </c>
      <c r="D74" s="11">
        <v>3</v>
      </c>
      <c r="E74" s="11">
        <v>1</v>
      </c>
      <c r="F74" s="11">
        <v>2</v>
      </c>
      <c r="G74" s="11">
        <v>7.45</v>
      </c>
    </row>
    <row r="75" spans="1:7" x14ac:dyDescent="0.35">
      <c r="A75" t="s">
        <v>301</v>
      </c>
      <c r="B75" t="s">
        <v>18</v>
      </c>
      <c r="C75" s="18" t="s">
        <v>11</v>
      </c>
      <c r="D75" s="1">
        <v>5</v>
      </c>
      <c r="E75" s="1">
        <v>2</v>
      </c>
      <c r="F75" s="1">
        <v>3</v>
      </c>
      <c r="G75" s="1" t="s">
        <v>307</v>
      </c>
    </row>
    <row r="76" spans="1:7" x14ac:dyDescent="0.35">
      <c r="A76" t="s">
        <v>301</v>
      </c>
      <c r="B76" t="s">
        <v>10</v>
      </c>
      <c r="C76" s="18" t="s">
        <v>11</v>
      </c>
      <c r="D76" s="1">
        <v>3</v>
      </c>
      <c r="E76" s="1">
        <v>2</v>
      </c>
      <c r="F76" s="1">
        <v>1</v>
      </c>
      <c r="G76" s="1" t="s">
        <v>308</v>
      </c>
    </row>
    <row r="77" spans="1:7" x14ac:dyDescent="0.35">
      <c r="A77" s="9">
        <v>46277</v>
      </c>
      <c r="B77" s="10" t="s">
        <v>18</v>
      </c>
      <c r="C77" s="19" t="s">
        <v>31</v>
      </c>
      <c r="D77" s="11">
        <v>1</v>
      </c>
      <c r="E77" s="11">
        <v>1</v>
      </c>
      <c r="F77" s="11">
        <v>0</v>
      </c>
      <c r="G77" s="11">
        <v>11.98</v>
      </c>
    </row>
    <row r="78" spans="1:7" x14ac:dyDescent="0.35">
      <c r="A78" s="9">
        <v>46277</v>
      </c>
      <c r="B78" s="10" t="s">
        <v>10</v>
      </c>
      <c r="C78" s="19" t="s">
        <v>31</v>
      </c>
      <c r="D78" s="11">
        <v>2</v>
      </c>
      <c r="E78" s="11">
        <v>2</v>
      </c>
      <c r="F78" s="11">
        <v>0</v>
      </c>
      <c r="G78" s="11">
        <v>7.35</v>
      </c>
    </row>
    <row r="79" spans="1:7" x14ac:dyDescent="0.35">
      <c r="A79" s="9">
        <v>46278</v>
      </c>
      <c r="B79" s="10" t="s">
        <v>18</v>
      </c>
      <c r="C79" s="19" t="s">
        <v>31</v>
      </c>
      <c r="D79" s="11">
        <v>3</v>
      </c>
      <c r="E79" s="11">
        <v>3</v>
      </c>
      <c r="F79" s="11">
        <v>0</v>
      </c>
      <c r="G79" s="11">
        <v>12.61</v>
      </c>
    </row>
    <row r="80" spans="1:7" x14ac:dyDescent="0.35">
      <c r="A80" s="9">
        <v>46278</v>
      </c>
      <c r="B80" s="10" t="s">
        <v>10</v>
      </c>
      <c r="C80" s="19" t="s">
        <v>31</v>
      </c>
      <c r="D80" s="11">
        <v>4</v>
      </c>
      <c r="E80" s="11">
        <v>4</v>
      </c>
      <c r="F80" s="11">
        <v>0</v>
      </c>
      <c r="G80" s="11">
        <v>8.9499999999999993</v>
      </c>
    </row>
    <row r="81" spans="1:7" x14ac:dyDescent="0.35">
      <c r="A81" t="s">
        <v>315</v>
      </c>
      <c r="B81" t="s">
        <v>10</v>
      </c>
      <c r="C81" s="18" t="s">
        <v>343</v>
      </c>
      <c r="D81" s="1">
        <v>9</v>
      </c>
      <c r="E81" s="1">
        <v>5</v>
      </c>
      <c r="F81" s="1">
        <v>4</v>
      </c>
      <c r="G81" s="1" t="s">
        <v>326</v>
      </c>
    </row>
    <row r="82" spans="1:7" x14ac:dyDescent="0.35">
      <c r="A82" t="s">
        <v>315</v>
      </c>
      <c r="B82" t="s">
        <v>18</v>
      </c>
      <c r="C82" s="18" t="s">
        <v>343</v>
      </c>
      <c r="D82" s="1">
        <v>3</v>
      </c>
      <c r="E82" s="1">
        <v>2</v>
      </c>
      <c r="F82" s="1">
        <v>1</v>
      </c>
      <c r="G82" s="1" t="s">
        <v>327</v>
      </c>
    </row>
    <row r="83" spans="1:7" x14ac:dyDescent="0.35">
      <c r="A83" t="s">
        <v>328</v>
      </c>
      <c r="B83" t="s">
        <v>10</v>
      </c>
      <c r="C83" s="18" t="s">
        <v>31</v>
      </c>
      <c r="D83" s="1">
        <v>4</v>
      </c>
      <c r="E83" s="1">
        <v>4</v>
      </c>
      <c r="F83" s="1">
        <v>0</v>
      </c>
      <c r="G83" s="1" t="s">
        <v>334</v>
      </c>
    </row>
    <row r="84" spans="1:7" x14ac:dyDescent="0.35">
      <c r="A84" t="s">
        <v>328</v>
      </c>
      <c r="B84" t="s">
        <v>18</v>
      </c>
      <c r="C84" s="18" t="s">
        <v>31</v>
      </c>
      <c r="D84" s="1">
        <v>3</v>
      </c>
      <c r="E84" s="1">
        <v>1</v>
      </c>
      <c r="F84" s="1">
        <v>2</v>
      </c>
      <c r="G84" s="1" t="s">
        <v>334</v>
      </c>
    </row>
    <row r="85" spans="1:7" x14ac:dyDescent="0.35">
      <c r="A85" t="s">
        <v>328</v>
      </c>
      <c r="B85" t="s">
        <v>10</v>
      </c>
      <c r="C85" s="18" t="s">
        <v>343</v>
      </c>
      <c r="D85" s="1">
        <v>4</v>
      </c>
      <c r="E85" s="1">
        <v>2</v>
      </c>
      <c r="F85" s="1">
        <v>2</v>
      </c>
      <c r="G85" s="1">
        <v>11.87</v>
      </c>
    </row>
    <row r="86" spans="1:7" x14ac:dyDescent="0.35">
      <c r="A86" t="s">
        <v>328</v>
      </c>
      <c r="B86" t="s">
        <v>18</v>
      </c>
      <c r="C86" s="18" t="s">
        <v>343</v>
      </c>
      <c r="D86" s="1">
        <v>5</v>
      </c>
      <c r="E86" s="1">
        <v>2</v>
      </c>
      <c r="F86" s="1">
        <v>3</v>
      </c>
      <c r="G86" s="1" t="s">
        <v>342</v>
      </c>
    </row>
    <row r="87" spans="1:7" x14ac:dyDescent="0.35">
      <c r="A87" s="9">
        <v>46282</v>
      </c>
      <c r="B87" t="s">
        <v>10</v>
      </c>
      <c r="C87" s="13" t="s">
        <v>349</v>
      </c>
      <c r="D87" s="10">
        <v>6</v>
      </c>
      <c r="E87" s="10">
        <v>5</v>
      </c>
      <c r="F87" s="10">
        <v>1</v>
      </c>
      <c r="G87" s="10">
        <v>22.83</v>
      </c>
    </row>
    <row r="88" spans="1:7" x14ac:dyDescent="0.35">
      <c r="A88" t="s">
        <v>356</v>
      </c>
      <c r="B88" t="s">
        <v>10</v>
      </c>
      <c r="C88" s="12" t="s">
        <v>11</v>
      </c>
      <c r="D88">
        <v>5</v>
      </c>
      <c r="E88">
        <v>4</v>
      </c>
      <c r="F88">
        <v>1</v>
      </c>
      <c r="G88" t="s">
        <v>370</v>
      </c>
    </row>
    <row r="89" spans="1:7" x14ac:dyDescent="0.35">
      <c r="A89" t="s">
        <v>356</v>
      </c>
      <c r="B89" t="s">
        <v>18</v>
      </c>
      <c r="C89" s="12" t="s">
        <v>11</v>
      </c>
      <c r="D89">
        <v>5</v>
      </c>
      <c r="E89">
        <v>4</v>
      </c>
      <c r="F89">
        <v>1</v>
      </c>
      <c r="G89" t="s">
        <v>371</v>
      </c>
    </row>
    <row r="90" spans="1:7" x14ac:dyDescent="0.35">
      <c r="A90" s="9">
        <v>46284</v>
      </c>
      <c r="B90" s="10" t="s">
        <v>18</v>
      </c>
      <c r="C90" s="12" t="s">
        <v>372</v>
      </c>
      <c r="D90" s="10">
        <v>4</v>
      </c>
      <c r="E90" s="10">
        <v>4</v>
      </c>
      <c r="F90" s="10">
        <v>0</v>
      </c>
      <c r="G90" s="10">
        <v>15.04</v>
      </c>
    </row>
    <row r="91" spans="1:7" x14ac:dyDescent="0.35">
      <c r="A91" s="9">
        <v>46284</v>
      </c>
      <c r="B91" s="10" t="s">
        <v>10</v>
      </c>
      <c r="C91" s="12" t="s">
        <v>372</v>
      </c>
      <c r="D91" s="10">
        <v>2</v>
      </c>
      <c r="E91" s="10">
        <v>2</v>
      </c>
      <c r="F91" s="10">
        <v>0</v>
      </c>
      <c r="G91" s="10">
        <v>8.99</v>
      </c>
    </row>
    <row r="92" spans="1:7" x14ac:dyDescent="0.35">
      <c r="A92" s="9">
        <v>46284</v>
      </c>
      <c r="B92" s="10" t="s">
        <v>375</v>
      </c>
      <c r="C92" s="12" t="s">
        <v>372</v>
      </c>
      <c r="D92" s="10">
        <v>1</v>
      </c>
      <c r="E92" s="10">
        <v>0</v>
      </c>
      <c r="F92" s="10">
        <v>1</v>
      </c>
      <c r="G92" s="10">
        <v>0.17</v>
      </c>
    </row>
    <row r="93" spans="1:7" x14ac:dyDescent="0.35">
      <c r="A93" s="9">
        <v>46285</v>
      </c>
      <c r="B93" s="10" t="s">
        <v>375</v>
      </c>
      <c r="C93" s="13" t="s">
        <v>31</v>
      </c>
      <c r="D93" s="10">
        <v>7</v>
      </c>
      <c r="E93" s="10">
        <v>4</v>
      </c>
      <c r="F93" s="10">
        <v>3</v>
      </c>
      <c r="G93" s="1">
        <v>3.41</v>
      </c>
    </row>
    <row r="94" spans="1:7" x14ac:dyDescent="0.35">
      <c r="A94" s="9">
        <v>46285</v>
      </c>
      <c r="B94" s="10" t="s">
        <v>18</v>
      </c>
      <c r="C94" s="13" t="s">
        <v>31</v>
      </c>
      <c r="D94" s="10">
        <v>2</v>
      </c>
      <c r="E94" s="10">
        <v>2</v>
      </c>
      <c r="F94" s="10">
        <v>0</v>
      </c>
      <c r="G94" s="10">
        <v>4.33</v>
      </c>
    </row>
    <row r="95" spans="1:7" x14ac:dyDescent="0.35">
      <c r="A95" s="9">
        <v>46285</v>
      </c>
      <c r="B95" s="10" t="s">
        <v>10</v>
      </c>
      <c r="C95" s="13" t="s">
        <v>31</v>
      </c>
      <c r="D95" s="10">
        <v>1</v>
      </c>
      <c r="E95" s="10">
        <v>1</v>
      </c>
      <c r="F95" s="10">
        <v>0</v>
      </c>
      <c r="G95" s="10">
        <v>40.94</v>
      </c>
    </row>
    <row r="96" spans="1:7" x14ac:dyDescent="0.35">
      <c r="A96" t="s">
        <v>385</v>
      </c>
      <c r="B96" t="s">
        <v>10</v>
      </c>
      <c r="C96" s="12" t="s">
        <v>11</v>
      </c>
      <c r="D96">
        <v>2</v>
      </c>
      <c r="E96">
        <v>1</v>
      </c>
      <c r="F96">
        <v>1</v>
      </c>
      <c r="G96" t="s">
        <v>165</v>
      </c>
    </row>
    <row r="97" spans="1:7" x14ac:dyDescent="0.35">
      <c r="A97" t="s">
        <v>385</v>
      </c>
      <c r="B97" t="s">
        <v>375</v>
      </c>
      <c r="C97" s="12" t="s">
        <v>11</v>
      </c>
      <c r="D97">
        <v>1</v>
      </c>
      <c r="E97">
        <v>1</v>
      </c>
      <c r="F97">
        <v>0</v>
      </c>
      <c r="G97" t="s">
        <v>392</v>
      </c>
    </row>
    <row r="98" spans="1:7" x14ac:dyDescent="0.35">
      <c r="A98" t="s">
        <v>385</v>
      </c>
      <c r="B98" t="s">
        <v>18</v>
      </c>
      <c r="C98" s="12" t="s">
        <v>11</v>
      </c>
      <c r="D98">
        <v>4</v>
      </c>
      <c r="E98">
        <v>2</v>
      </c>
      <c r="F98">
        <v>2</v>
      </c>
      <c r="G98" t="s">
        <v>393</v>
      </c>
    </row>
    <row r="99" spans="1:7" x14ac:dyDescent="0.35">
      <c r="A99" t="s">
        <v>394</v>
      </c>
      <c r="B99" t="s">
        <v>10</v>
      </c>
      <c r="C99" s="12" t="s">
        <v>11</v>
      </c>
      <c r="D99">
        <v>5</v>
      </c>
      <c r="E99">
        <v>4</v>
      </c>
      <c r="F99">
        <v>1</v>
      </c>
      <c r="G99" t="s">
        <v>406</v>
      </c>
    </row>
    <row r="100" spans="1:7" x14ac:dyDescent="0.35">
      <c r="A100" t="s">
        <v>394</v>
      </c>
      <c r="B100" t="s">
        <v>375</v>
      </c>
      <c r="C100" s="12" t="s">
        <v>11</v>
      </c>
      <c r="D100">
        <v>2</v>
      </c>
      <c r="E100">
        <v>2</v>
      </c>
      <c r="F100">
        <v>0</v>
      </c>
      <c r="G100" t="s">
        <v>407</v>
      </c>
    </row>
    <row r="101" spans="1:7" x14ac:dyDescent="0.35">
      <c r="A101" t="s">
        <v>394</v>
      </c>
      <c r="B101" t="s">
        <v>18</v>
      </c>
      <c r="C101" s="12" t="s">
        <v>11</v>
      </c>
      <c r="D101">
        <v>5</v>
      </c>
      <c r="E101">
        <v>4</v>
      </c>
      <c r="F101">
        <v>1</v>
      </c>
      <c r="G101" t="s">
        <v>408</v>
      </c>
    </row>
    <row r="102" spans="1:7" x14ac:dyDescent="0.35">
      <c r="A102" t="s">
        <v>409</v>
      </c>
      <c r="B102" t="s">
        <v>10</v>
      </c>
      <c r="C102" s="12" t="s">
        <v>343</v>
      </c>
      <c r="D102">
        <v>7</v>
      </c>
      <c r="E102">
        <v>4</v>
      </c>
      <c r="F102">
        <v>3</v>
      </c>
      <c r="G102" t="s">
        <v>419</v>
      </c>
    </row>
    <row r="103" spans="1:7" x14ac:dyDescent="0.35">
      <c r="A103" s="8">
        <v>46288</v>
      </c>
      <c r="B103" t="s">
        <v>375</v>
      </c>
      <c r="C103" s="12" t="s">
        <v>343</v>
      </c>
      <c r="D103">
        <v>1</v>
      </c>
      <c r="E103">
        <v>0</v>
      </c>
      <c r="F103">
        <v>1</v>
      </c>
      <c r="G103" t="s">
        <v>420</v>
      </c>
    </row>
    <row r="104" spans="1:7" x14ac:dyDescent="0.35">
      <c r="A104" t="s">
        <v>409</v>
      </c>
      <c r="B104" t="s">
        <v>18</v>
      </c>
      <c r="C104" s="12" t="s">
        <v>343</v>
      </c>
      <c r="D104">
        <v>5</v>
      </c>
      <c r="E104">
        <v>3</v>
      </c>
      <c r="F104">
        <v>2</v>
      </c>
      <c r="G104" t="s">
        <v>421</v>
      </c>
    </row>
    <row r="105" spans="1:7" x14ac:dyDescent="0.35">
      <c r="A105" t="s">
        <v>422</v>
      </c>
      <c r="B105" t="s">
        <v>10</v>
      </c>
      <c r="C105" s="12" t="s">
        <v>343</v>
      </c>
      <c r="D105">
        <v>5</v>
      </c>
      <c r="E105">
        <v>5</v>
      </c>
      <c r="F105">
        <v>0</v>
      </c>
      <c r="G105" t="s">
        <v>432</v>
      </c>
    </row>
    <row r="106" spans="1:7" x14ac:dyDescent="0.35">
      <c r="A106" t="s">
        <v>422</v>
      </c>
      <c r="B106" t="s">
        <v>375</v>
      </c>
      <c r="C106" s="12" t="s">
        <v>343</v>
      </c>
      <c r="D106">
        <v>3</v>
      </c>
      <c r="E106">
        <v>0</v>
      </c>
      <c r="F106">
        <v>3</v>
      </c>
      <c r="G106" t="s">
        <v>433</v>
      </c>
    </row>
    <row r="107" spans="1:7" x14ac:dyDescent="0.35">
      <c r="A107" t="s">
        <v>422</v>
      </c>
      <c r="B107" t="s">
        <v>18</v>
      </c>
      <c r="C107" s="12" t="s">
        <v>343</v>
      </c>
      <c r="D107">
        <v>4</v>
      </c>
      <c r="E107">
        <v>2</v>
      </c>
      <c r="F107">
        <v>2</v>
      </c>
      <c r="G107" t="s">
        <v>434</v>
      </c>
    </row>
    <row r="108" spans="1:7" x14ac:dyDescent="0.35">
      <c r="A108" s="8">
        <v>46289</v>
      </c>
      <c r="B108" s="7" t="s">
        <v>18</v>
      </c>
      <c r="C108" s="18" t="s">
        <v>440</v>
      </c>
      <c r="D108" s="1">
        <v>2</v>
      </c>
      <c r="E108" s="1">
        <v>2</v>
      </c>
      <c r="F108" s="1">
        <v>0</v>
      </c>
      <c r="G108" s="1">
        <v>6.89</v>
      </c>
    </row>
    <row r="109" spans="1:7" x14ac:dyDescent="0.35">
      <c r="A109" s="8">
        <v>46289</v>
      </c>
      <c r="B109" s="7" t="s">
        <v>375</v>
      </c>
      <c r="C109" s="18" t="s">
        <v>440</v>
      </c>
      <c r="D109" s="1">
        <v>1</v>
      </c>
      <c r="E109" s="1">
        <v>1</v>
      </c>
      <c r="F109" s="1">
        <v>0</v>
      </c>
      <c r="G109" s="1">
        <v>6.86</v>
      </c>
    </row>
    <row r="110" spans="1:7" x14ac:dyDescent="0.35">
      <c r="A110" s="8">
        <v>46289</v>
      </c>
      <c r="B110" s="7" t="s">
        <v>10</v>
      </c>
      <c r="C110" s="18" t="s">
        <v>440</v>
      </c>
      <c r="D110" s="1">
        <v>1</v>
      </c>
      <c r="E110" s="1">
        <v>0</v>
      </c>
      <c r="F110" s="1">
        <v>1</v>
      </c>
      <c r="G110" s="1">
        <v>1.27</v>
      </c>
    </row>
    <row r="111" spans="1:7" x14ac:dyDescent="0.35">
      <c r="A111" s="8">
        <v>46290</v>
      </c>
      <c r="B111" s="7" t="s">
        <v>18</v>
      </c>
      <c r="C111" s="18" t="s">
        <v>443</v>
      </c>
      <c r="D111" s="1">
        <v>4</v>
      </c>
      <c r="E111" s="1">
        <v>3</v>
      </c>
      <c r="F111" s="1">
        <v>1</v>
      </c>
      <c r="G111" s="1">
        <v>15.94</v>
      </c>
    </row>
    <row r="112" spans="1:7" x14ac:dyDescent="0.35">
      <c r="A112" s="8">
        <v>46290</v>
      </c>
      <c r="B112" s="7" t="s">
        <v>10</v>
      </c>
      <c r="C112" s="18" t="s">
        <v>443</v>
      </c>
      <c r="D112" s="1">
        <v>1</v>
      </c>
      <c r="E112" s="1">
        <v>1</v>
      </c>
      <c r="F112" s="1">
        <v>0</v>
      </c>
      <c r="G112" s="1">
        <v>7.24</v>
      </c>
    </row>
    <row r="113" spans="1:7" x14ac:dyDescent="0.35">
      <c r="A113" s="8">
        <v>46290</v>
      </c>
      <c r="B113" s="7" t="s">
        <v>375</v>
      </c>
      <c r="C113" s="18" t="s">
        <v>443</v>
      </c>
      <c r="D113" s="1">
        <v>1</v>
      </c>
      <c r="E113" s="1">
        <v>1</v>
      </c>
      <c r="F113" s="1">
        <v>0</v>
      </c>
      <c r="G113" s="1">
        <v>5.58</v>
      </c>
    </row>
    <row r="114" spans="1:7" x14ac:dyDescent="0.35">
      <c r="A114" s="8">
        <v>46291</v>
      </c>
      <c r="B114" s="7" t="s">
        <v>18</v>
      </c>
      <c r="C114" s="18" t="s">
        <v>443</v>
      </c>
      <c r="D114" s="1">
        <v>5</v>
      </c>
      <c r="E114" s="1">
        <v>3</v>
      </c>
      <c r="F114" s="1">
        <v>2</v>
      </c>
      <c r="G114" s="1">
        <v>22.48</v>
      </c>
    </row>
    <row r="115" spans="1:7" x14ac:dyDescent="0.35">
      <c r="A115" s="8">
        <v>46291</v>
      </c>
      <c r="B115" s="7" t="s">
        <v>10</v>
      </c>
      <c r="C115" s="18" t="s">
        <v>443</v>
      </c>
      <c r="D115" s="1">
        <v>2</v>
      </c>
      <c r="E115" s="1">
        <v>1</v>
      </c>
      <c r="F115" s="1">
        <v>1</v>
      </c>
      <c r="G115" s="1">
        <v>7.42</v>
      </c>
    </row>
    <row r="116" spans="1:7" x14ac:dyDescent="0.35">
      <c r="A116" s="8">
        <v>46291</v>
      </c>
      <c r="B116" s="7" t="s">
        <v>375</v>
      </c>
      <c r="C116" s="18" t="s">
        <v>443</v>
      </c>
      <c r="D116" s="1">
        <v>1</v>
      </c>
      <c r="E116" s="1">
        <v>1</v>
      </c>
      <c r="F116" s="1">
        <v>0</v>
      </c>
      <c r="G116" s="1">
        <v>7.18</v>
      </c>
    </row>
    <row r="117" spans="1:7" x14ac:dyDescent="0.35">
      <c r="A117" s="8">
        <v>46292</v>
      </c>
      <c r="B117" s="7" t="s">
        <v>375</v>
      </c>
      <c r="C117" s="18" t="s">
        <v>453</v>
      </c>
      <c r="D117" s="1">
        <v>1</v>
      </c>
      <c r="E117" s="1">
        <v>0</v>
      </c>
      <c r="F117" s="1">
        <v>1</v>
      </c>
      <c r="G117" s="1">
        <v>0.3</v>
      </c>
    </row>
    <row r="118" spans="1:7" x14ac:dyDescent="0.35">
      <c r="A118" s="8">
        <v>46292</v>
      </c>
      <c r="B118" s="7" t="s">
        <v>10</v>
      </c>
      <c r="C118" s="18" t="s">
        <v>453</v>
      </c>
      <c r="D118" s="1">
        <v>1</v>
      </c>
      <c r="E118" s="1">
        <v>1</v>
      </c>
      <c r="F118" s="1">
        <v>0</v>
      </c>
      <c r="G118" s="1">
        <v>7.35</v>
      </c>
    </row>
    <row r="119" spans="1:7" x14ac:dyDescent="0.35">
      <c r="A119" s="8">
        <v>46292</v>
      </c>
      <c r="B119" s="7" t="s">
        <v>18</v>
      </c>
      <c r="C119" s="18" t="s">
        <v>453</v>
      </c>
      <c r="D119" s="1">
        <v>3</v>
      </c>
      <c r="E119" s="1">
        <v>2</v>
      </c>
      <c r="F119" s="1">
        <v>1</v>
      </c>
      <c r="G119" s="1">
        <v>9.2799999999999994</v>
      </c>
    </row>
    <row r="120" spans="1:7" x14ac:dyDescent="0.35">
      <c r="A120" t="s">
        <v>467</v>
      </c>
      <c r="B120" t="s">
        <v>18</v>
      </c>
      <c r="C120" s="18" t="s">
        <v>474</v>
      </c>
      <c r="D120">
        <v>4</v>
      </c>
      <c r="E120">
        <v>2</v>
      </c>
      <c r="F120">
        <v>2</v>
      </c>
      <c r="G120" t="s">
        <v>475</v>
      </c>
    </row>
    <row r="121" spans="1:7" x14ac:dyDescent="0.35">
      <c r="A121" t="s">
        <v>467</v>
      </c>
      <c r="B121" t="s">
        <v>10</v>
      </c>
      <c r="C121" s="18" t="s">
        <v>474</v>
      </c>
      <c r="D121">
        <v>1</v>
      </c>
      <c r="E121">
        <v>1</v>
      </c>
      <c r="F121">
        <v>0</v>
      </c>
      <c r="G121" t="s">
        <v>476</v>
      </c>
    </row>
  </sheetData>
  <phoneticPr fontId="4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workbookViewId="0">
      <selection activeCell="B9" sqref="B9"/>
    </sheetView>
  </sheetViews>
  <sheetFormatPr defaultRowHeight="15.5" x14ac:dyDescent="0.35"/>
  <cols>
    <col min="1" max="1" width="40.83203125" customWidth="1"/>
    <col min="2" max="2" width="20.83203125" customWidth="1"/>
  </cols>
  <sheetData>
    <row r="1" spans="1:2" x14ac:dyDescent="0.35">
      <c r="A1" t="s">
        <v>92</v>
      </c>
    </row>
    <row r="2" spans="1:2" x14ac:dyDescent="0.35">
      <c r="A2" t="s">
        <v>79</v>
      </c>
    </row>
    <row r="3" spans="1:2" x14ac:dyDescent="0.35">
      <c r="A3" t="s">
        <v>14</v>
      </c>
    </row>
    <row r="4" spans="1:2" x14ac:dyDescent="0.35">
      <c r="A4" s="4" t="s">
        <v>84</v>
      </c>
      <c r="B4" s="5" t="s">
        <v>85</v>
      </c>
    </row>
    <row r="5" spans="1:2" x14ac:dyDescent="0.35">
      <c r="A5" t="s">
        <v>86</v>
      </c>
      <c r="B5" s="3" cm="1">
        <f t="array" ref="B5">MIN(IF(Patient_Log!F2:F997&gt;=1,Patient_Log!F2:F997))</f>
        <v>1</v>
      </c>
    </row>
    <row r="6" spans="1:2" x14ac:dyDescent="0.35">
      <c r="A6" t="s">
        <v>87</v>
      </c>
      <c r="B6" s="1" cm="1">
        <f t="array" ref="B6">MAX(IF(Patient_Log!F2:F997&gt;=1,Patient_Log!F2:F997))</f>
        <v>26.11</v>
      </c>
    </row>
    <row r="7" spans="1:2" x14ac:dyDescent="0.35">
      <c r="A7" t="s">
        <v>88</v>
      </c>
      <c r="B7" s="3">
        <f>AVERAGEIF(Patient_Log!F2:F997,"&lt;&gt;0")</f>
        <v>3.8874999999999984</v>
      </c>
    </row>
    <row r="8" spans="1:2" x14ac:dyDescent="0.35">
      <c r="B8" s="1"/>
    </row>
    <row r="9" spans="1:2" x14ac:dyDescent="0.35">
      <c r="A9" t="s">
        <v>80</v>
      </c>
      <c r="B9" s="1">
        <f>SUM(Unit_Log!E2:E1000)</f>
        <v>321</v>
      </c>
    </row>
    <row r="10" spans="1:2" x14ac:dyDescent="0.35">
      <c r="A10" t="s">
        <v>14</v>
      </c>
      <c r="B10" s="1"/>
    </row>
    <row r="11" spans="1:2" x14ac:dyDescent="0.35">
      <c r="A11" s="4" t="s">
        <v>89</v>
      </c>
      <c r="B11" s="5" t="s">
        <v>85</v>
      </c>
    </row>
    <row r="12" spans="1:2" x14ac:dyDescent="0.35">
      <c r="A12" t="s">
        <v>90</v>
      </c>
      <c r="B12" s="1" cm="1">
        <f t="array" ref="B12">MIN(IF(Unit_Log!G2:G1000&gt;=1,Unit_Log!G2:G1000))</f>
        <v>1</v>
      </c>
    </row>
    <row r="13" spans="1:2" x14ac:dyDescent="0.35">
      <c r="A13" t="s">
        <v>91</v>
      </c>
      <c r="B13" s="1" cm="1">
        <f t="array" ref="B13">MAX(IF(Unit_Log!G8:G1000&gt;=1,Unit_Log!G8:G1000))</f>
        <v>45.85</v>
      </c>
    </row>
  </sheetData>
  <pageMargins left="0.7" right="0.7" top="0.75" bottom="0.75" header="0.3" footer="0.3"/>
  <ignoredErrors>
    <ignoredError sqref="A2:B3 A10:B10 A9 B1" numberStoredAsText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0"/>
  <sheetViews>
    <sheetView workbookViewId="0">
      <selection activeCell="A30" sqref="A30"/>
    </sheetView>
  </sheetViews>
  <sheetFormatPr defaultRowHeight="15.5" x14ac:dyDescent="0.35"/>
  <cols>
    <col min="1" max="1" width="28.83203125" customWidth="1"/>
    <col min="2" max="2" width="50.83203125" customWidth="1"/>
    <col min="3" max="3" width="18.83203125" customWidth="1"/>
    <col min="4" max="4" width="44.83203125" customWidth="1"/>
  </cols>
  <sheetData>
    <row r="1" spans="1:4" x14ac:dyDescent="0.35">
      <c r="A1" t="s">
        <v>42</v>
      </c>
      <c r="B1" t="s">
        <v>43</v>
      </c>
      <c r="C1" t="s">
        <v>44</v>
      </c>
      <c r="D1" t="s">
        <v>6</v>
      </c>
    </row>
    <row r="2" spans="1:4" x14ac:dyDescent="0.35">
      <c r="A2" t="s">
        <v>0</v>
      </c>
      <c r="B2" t="s">
        <v>45</v>
      </c>
      <c r="C2" t="s">
        <v>46</v>
      </c>
      <c r="D2" t="s">
        <v>47</v>
      </c>
    </row>
    <row r="3" spans="1:4" x14ac:dyDescent="0.35">
      <c r="A3" t="s">
        <v>1</v>
      </c>
      <c r="B3" t="s">
        <v>48</v>
      </c>
      <c r="C3" t="s">
        <v>49</v>
      </c>
      <c r="D3" t="s">
        <v>50</v>
      </c>
    </row>
    <row r="4" spans="1:4" x14ac:dyDescent="0.35">
      <c r="A4" t="s">
        <v>2</v>
      </c>
      <c r="B4" t="s">
        <v>51</v>
      </c>
      <c r="C4" t="s">
        <v>49</v>
      </c>
      <c r="D4" t="s">
        <v>52</v>
      </c>
    </row>
    <row r="5" spans="1:4" x14ac:dyDescent="0.35">
      <c r="A5" t="s">
        <v>3</v>
      </c>
      <c r="B5" t="s">
        <v>53</v>
      </c>
      <c r="C5" t="s">
        <v>49</v>
      </c>
      <c r="D5" t="s">
        <v>14</v>
      </c>
    </row>
    <row r="6" spans="1:4" x14ac:dyDescent="0.35">
      <c r="A6" t="s">
        <v>4</v>
      </c>
      <c r="B6" t="s">
        <v>54</v>
      </c>
      <c r="C6" t="s">
        <v>49</v>
      </c>
      <c r="D6" t="s">
        <v>55</v>
      </c>
    </row>
    <row r="7" spans="1:4" x14ac:dyDescent="0.35">
      <c r="A7" t="s">
        <v>5</v>
      </c>
      <c r="B7" t="s">
        <v>56</v>
      </c>
      <c r="C7" t="s">
        <v>49</v>
      </c>
      <c r="D7" t="s">
        <v>57</v>
      </c>
    </row>
    <row r="8" spans="1:4" x14ac:dyDescent="0.35">
      <c r="A8" t="s">
        <v>6</v>
      </c>
      <c r="B8" t="s">
        <v>58</v>
      </c>
      <c r="C8" t="s">
        <v>49</v>
      </c>
      <c r="D8" t="s">
        <v>59</v>
      </c>
    </row>
    <row r="9" spans="1:4" x14ac:dyDescent="0.35">
      <c r="A9" t="s">
        <v>7</v>
      </c>
      <c r="B9" t="s">
        <v>60</v>
      </c>
      <c r="C9" t="s">
        <v>49</v>
      </c>
      <c r="D9" t="s">
        <v>59</v>
      </c>
    </row>
    <row r="10" spans="1:4" x14ac:dyDescent="0.35">
      <c r="A10" t="s">
        <v>8</v>
      </c>
      <c r="B10" t="s">
        <v>61</v>
      </c>
      <c r="C10" t="s">
        <v>49</v>
      </c>
      <c r="D10" t="s">
        <v>62</v>
      </c>
    </row>
    <row r="11" spans="1:4" x14ac:dyDescent="0.35">
      <c r="A11" t="s">
        <v>14</v>
      </c>
      <c r="B11" t="s">
        <v>14</v>
      </c>
      <c r="C11" t="s">
        <v>14</v>
      </c>
      <c r="D11" t="s">
        <v>14</v>
      </c>
    </row>
    <row r="12" spans="1:4" x14ac:dyDescent="0.35">
      <c r="A12" t="s">
        <v>63</v>
      </c>
      <c r="B12" t="s">
        <v>14</v>
      </c>
      <c r="C12" t="s">
        <v>14</v>
      </c>
      <c r="D12" t="s">
        <v>14</v>
      </c>
    </row>
    <row r="13" spans="1:4" x14ac:dyDescent="0.35">
      <c r="A13" t="s">
        <v>64</v>
      </c>
      <c r="B13" t="s">
        <v>65</v>
      </c>
      <c r="C13" t="s">
        <v>66</v>
      </c>
      <c r="D13" t="s">
        <v>14</v>
      </c>
    </row>
    <row r="14" spans="1:4" x14ac:dyDescent="0.35">
      <c r="A14" t="s">
        <v>67</v>
      </c>
      <c r="B14" t="s">
        <v>68</v>
      </c>
      <c r="C14" t="s">
        <v>66</v>
      </c>
      <c r="D14" t="s">
        <v>14</v>
      </c>
    </row>
    <row r="15" spans="1:4" x14ac:dyDescent="0.35">
      <c r="A15" t="s">
        <v>69</v>
      </c>
      <c r="B15" t="s">
        <v>70</v>
      </c>
      <c r="C15" t="s">
        <v>66</v>
      </c>
      <c r="D15" t="s">
        <v>14</v>
      </c>
    </row>
    <row r="16" spans="1:4" x14ac:dyDescent="0.35">
      <c r="A16" t="s">
        <v>71</v>
      </c>
      <c r="B16" t="s">
        <v>72</v>
      </c>
      <c r="C16" t="s">
        <v>66</v>
      </c>
      <c r="D16" t="s">
        <v>14</v>
      </c>
    </row>
    <row r="17" spans="1:4" x14ac:dyDescent="0.35">
      <c r="A17" t="s">
        <v>73</v>
      </c>
      <c r="B17" t="s">
        <v>74</v>
      </c>
      <c r="C17" t="s">
        <v>66</v>
      </c>
      <c r="D17" t="s">
        <v>14</v>
      </c>
    </row>
    <row r="18" spans="1:4" x14ac:dyDescent="0.35">
      <c r="A18" t="s">
        <v>75</v>
      </c>
      <c r="B18" t="s">
        <v>76</v>
      </c>
      <c r="C18" t="s">
        <v>66</v>
      </c>
      <c r="D18" t="s">
        <v>14</v>
      </c>
    </row>
    <row r="19" spans="1:4" x14ac:dyDescent="0.35">
      <c r="A19" t="s">
        <v>77</v>
      </c>
      <c r="B19" t="s">
        <v>78</v>
      </c>
      <c r="C19" t="s">
        <v>66</v>
      </c>
      <c r="D19" t="s">
        <v>14</v>
      </c>
    </row>
    <row r="24" spans="1:4" x14ac:dyDescent="0.35">
      <c r="A24" s="4" t="s">
        <v>224</v>
      </c>
    </row>
    <row r="25" spans="1:4" x14ac:dyDescent="0.35">
      <c r="A25" t="s">
        <v>226</v>
      </c>
    </row>
    <row r="26" spans="1:4" x14ac:dyDescent="0.35">
      <c r="A26" t="s">
        <v>227</v>
      </c>
    </row>
    <row r="27" spans="1:4" x14ac:dyDescent="0.35">
      <c r="A27" t="s">
        <v>228</v>
      </c>
    </row>
    <row r="28" spans="1:4" x14ac:dyDescent="0.35">
      <c r="A28" t="s">
        <v>229</v>
      </c>
    </row>
    <row r="29" spans="1:4" x14ac:dyDescent="0.35">
      <c r="A29" t="s">
        <v>230</v>
      </c>
    </row>
    <row r="30" spans="1:4" x14ac:dyDescent="0.35">
      <c r="A30" t="s">
        <v>231</v>
      </c>
    </row>
  </sheetData>
  <pageMargins left="0.7" right="0.7" top="0.75" bottom="0.75" header="0.3" footer="0.3"/>
  <ignoredErrors>
    <ignoredError sqref="A1:D19" numberStoredAsText="1"/>
  </ignoredErrors>
</worksheet>
</file>

<file path=docMetadata/LabelInfo.xml><?xml version="1.0" encoding="utf-8"?>
<clbl:labelList xmlns:clbl="http://schemas.microsoft.com/office/2020/mipLabelMetadata">
  <clbl:label id="{e95f1b23-abaf-45ee-821d-b7ab251ab3bf}" enabled="0" method="" siteId="{e95f1b23-abaf-45ee-821d-b7ab251ab3b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Patient_Log</vt:lpstr>
      <vt:lpstr>Unit_Log</vt:lpstr>
      <vt:lpstr>Summary</vt:lpstr>
      <vt:lpstr>Data 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Alvarez, Crystal G.</cp:lastModifiedBy>
  <dcterms:created xsi:type="dcterms:W3CDTF">2026-08-11T16:36:34Z</dcterms:created>
  <dcterms:modified xsi:type="dcterms:W3CDTF">2026-09-28T18:58:45Z</dcterms:modified>
</cp:coreProperties>
</file>